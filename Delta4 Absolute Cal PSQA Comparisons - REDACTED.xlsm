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
    </mc:Choice>
  </mc:AlternateContent>
  <bookViews>
    <workbookView xWindow="0" yWindow="0" windowWidth="28800" windowHeight="12300"/>
  </bookViews>
  <sheets>
    <sheet name="All Data" sheetId="1" r:id="rId1"/>
    <sheet name="Machine &amp; Rad Dev Comp" sheetId="3" r:id="rId2"/>
    <sheet name="Analysis" sheetId="2" r:id="rId3"/>
  </sheets>
  <definedNames>
    <definedName name="_xlcn.WorksheetConnection_Delta4AbsoluteCalPSQAComparisons.xlsxMach_Rad_Dev_Comp1" hidden="1">Mach_Rad_Dev_Comp[]</definedName>
    <definedName name="ExternalData_1" localSheetId="1" hidden="1">'Machine &amp; Rad Dev Comp'!$A$1:$Y$46</definedName>
    <definedName name="Slicer_Before_After_Energy_Adjustment">#N/A</definedName>
    <definedName name="Slicer_Body_Site">#N/A</definedName>
    <definedName name="Slicer_Body_Site1">#N/A</definedName>
    <definedName name="Slicer_Date">#N/A</definedName>
    <definedName name="Slicer_Machine">#N/A</definedName>
    <definedName name="Slicer_Machine1">#N/A</definedName>
    <definedName name="Slicer_Plan">#N/A</definedName>
    <definedName name="Slicer_Pt">#N/A</definedName>
    <definedName name="Slicer_TreatmentMachineName___Radiation_Device">#N/A</definedName>
    <definedName name="Slicer_TreatmentMachineName___Radiation_Device1">#N/A</definedName>
    <definedName name="Slicer_Tx_Technique">#N/A</definedName>
    <definedName name="Slicer_Tx_Technique1">#N/A</definedName>
  </definedNames>
  <calcPr calcId="162913"/>
  <pivotCaches>
    <pivotCache cacheId="0" r:id="rId4"/>
    <pivotCache cacheId="1" r:id="rId5"/>
    <pivotCache cacheId="12"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4_Abs_Cal_Comp_10cb5c4f-7a07-47cc-9c0e-028f99c4413a" name="D4_Abs_Cal_Comp" connection="Query - D4_Abs_Cal_Comp"/>
          <x15:modelTable id="Mach_Rad_Dev_Comp" name="Mach_Rad_Dev_Comp" connection="WorksheetConnection_Delta4 Absolute Cal PSQA Comparisons.xlsx!Mach_Rad_Dev_Comp"/>
        </x15:modelTables>
      </x15:dataModel>
    </ext>
  </extLst>
</workbook>
</file>

<file path=xl/calcChain.xml><?xml version="1.0" encoding="utf-8"?>
<calcChain xmlns="http://schemas.openxmlformats.org/spreadsheetml/2006/main">
  <c r="L69" i="1" l="1"/>
  <c r="L67" i="1"/>
  <c r="L68" i="1"/>
  <c r="L65" i="1"/>
  <c r="L66" i="1"/>
  <c r="L61" i="1" l="1"/>
  <c r="L62" i="1"/>
  <c r="L63" i="1"/>
  <c r="L64" i="1"/>
  <c r="L59" i="1" l="1"/>
  <c r="L58" i="1"/>
  <c r="L60" i="1"/>
  <c r="H36" i="2" l="1"/>
  <c r="I36" i="2"/>
  <c r="G36" i="2"/>
  <c r="C36" i="2"/>
  <c r="D36" i="2"/>
  <c r="B36" i="2"/>
  <c r="L56" i="1" l="1"/>
  <c r="L57" i="1"/>
  <c r="L54" i="1"/>
  <c r="L55" i="1"/>
  <c r="L52" i="1" l="1"/>
  <c r="L53" i="1"/>
  <c r="L50" i="1"/>
  <c r="L51" i="1"/>
  <c r="L48" i="1" l="1"/>
  <c r="L49" i="1"/>
  <c r="L46" i="1"/>
  <c r="L47" i="1"/>
  <c r="L44" i="1"/>
  <c r="L45" i="1"/>
  <c r="L5" i="1" l="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alcChain>
</file>

<file path=xl/connections.xml><?xml version="1.0" encoding="utf-8"?>
<connections xmlns="http://schemas.openxmlformats.org/spreadsheetml/2006/main">
  <connection id="1" keepAlive="1" name="ModelConnection_ExternalData_1" description="Data Model" type="5" refreshedVersion="6" minRefreshableVersion="5" saveData="1">
    <dbPr connection="Data Model Connection" command="D4_Abs_Cal_Comp" commandType="3"/>
    <extLst>
      <ext xmlns:x15="http://schemas.microsoft.com/office/spreadsheetml/2010/11/main" uri="{DE250136-89BD-433C-8126-D09CA5730AF9}">
        <x15:connection id="" model="1"/>
      </ext>
    </extLst>
  </connection>
  <connection id="2" name="Query - D4_Abs_Cal_Comp" description="Connection to the 'D4_Abs_Cal_Comp' query in the workbook." type="100" refreshedVersion="6" minRefreshableVersion="5">
    <extLst>
      <ext xmlns:x15="http://schemas.microsoft.com/office/spreadsheetml/2010/11/main" uri="{DE250136-89BD-433C-8126-D09CA5730AF9}">
        <x15:connection id="5eb0a1cf-a05e-47cb-8af7-73c947e05825"/>
      </ext>
    </extLst>
  </connection>
  <connection id="3"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name="WorksheetConnection_Delta4 Absolute Cal PSQA Comparisons.xlsx!Mach_Rad_Dev_Comp" type="102" refreshedVersion="6" minRefreshableVersion="5">
    <extLst>
      <ext xmlns:x15="http://schemas.microsoft.com/office/spreadsheetml/2010/11/main" uri="{DE250136-89BD-433C-8126-D09CA5730AF9}">
        <x15:connection id="Mach_Rad_Dev_Comp" autoDelete="1">
          <x15:rangePr sourceName="_xlcn.WorksheetConnection_Delta4AbsoluteCalPSQAComparisons.xlsxMach_Rad_Dev_Comp1"/>
        </x15:connection>
      </ext>
    </extLst>
  </connection>
</connections>
</file>

<file path=xl/sharedStrings.xml><?xml version="1.0" encoding="utf-8"?>
<sst xmlns="http://schemas.openxmlformats.org/spreadsheetml/2006/main" count="731" uniqueCount="110">
  <si>
    <t>Pt</t>
  </si>
  <si>
    <t>Case</t>
  </si>
  <si>
    <t>Plan</t>
  </si>
  <si>
    <t>Machine</t>
  </si>
  <si>
    <t>Beam 1 GPR</t>
  </si>
  <si>
    <t>Beam 2 GPR</t>
  </si>
  <si>
    <t>Plan GPR</t>
  </si>
  <si>
    <t>Vandett, Diane</t>
  </si>
  <si>
    <t>R Lung</t>
  </si>
  <si>
    <t>ELEKTA</t>
  </si>
  <si>
    <t>TreatmentMachineName / Radiation Device</t>
  </si>
  <si>
    <t>E1</t>
  </si>
  <si>
    <t>Thorax</t>
  </si>
  <si>
    <t>E2</t>
  </si>
  <si>
    <t>Meadows, Robert</t>
  </si>
  <si>
    <t>SBRT L Lung</t>
  </si>
  <si>
    <t>Tx Technique</t>
  </si>
  <si>
    <t>VMAT</t>
  </si>
  <si>
    <t>SBRT</t>
  </si>
  <si>
    <t>Herron, Carlos</t>
  </si>
  <si>
    <t>SBRT LML</t>
  </si>
  <si>
    <t>French, Joseph</t>
  </si>
  <si>
    <t>Rectum</t>
  </si>
  <si>
    <t>Pelvis</t>
  </si>
  <si>
    <t>Gamble, Barbara</t>
  </si>
  <si>
    <t>VMAT Rectum</t>
  </si>
  <si>
    <t>VMAT Rectal Bst</t>
  </si>
  <si>
    <t>Date</t>
  </si>
  <si>
    <t>Ballard, Howard</t>
  </si>
  <si>
    <t>R Lung Retx</t>
  </si>
  <si>
    <t>Brown, Lowell</t>
  </si>
  <si>
    <t>Rectal Boost</t>
  </si>
  <si>
    <t>Hummel, Sallie</t>
  </si>
  <si>
    <t>VMAT Epigastric</t>
  </si>
  <si>
    <t>Bayless, Kenneth</t>
  </si>
  <si>
    <t>VMAT R Lung</t>
  </si>
  <si>
    <t>Neale, John</t>
  </si>
  <si>
    <t>Spencer, Ruth</t>
  </si>
  <si>
    <t>Anus</t>
  </si>
  <si>
    <t>Anus Boost</t>
  </si>
  <si>
    <t>Wilkes, Helen</t>
  </si>
  <si>
    <t>Cervix Boost</t>
  </si>
  <si>
    <t>Davis, Robert</t>
  </si>
  <si>
    <t>Esophagus</t>
  </si>
  <si>
    <t>Edwards, Ricky</t>
  </si>
  <si>
    <t>L Lung</t>
  </si>
  <si>
    <t>Roberts, Kathy</t>
  </si>
  <si>
    <t>Pancreas</t>
  </si>
  <si>
    <t>Young, Mary</t>
  </si>
  <si>
    <t>Draper, Gale</t>
  </si>
  <si>
    <t>Crain, Randy</t>
  </si>
  <si>
    <t>Burrows, Michael</t>
  </si>
  <si>
    <t>HNK</t>
  </si>
  <si>
    <t>Thorax2</t>
  </si>
  <si>
    <t>Abdomen</t>
  </si>
  <si>
    <t>Thorax1</t>
  </si>
  <si>
    <t>Body Site</t>
  </si>
  <si>
    <t>Lung</t>
  </si>
  <si>
    <t>Cervix</t>
  </si>
  <si>
    <t>Background Info:</t>
  </si>
  <si>
    <t>Before/After Energy Adjustment</t>
  </si>
  <si>
    <t>After</t>
  </si>
  <si>
    <t>Before</t>
  </si>
  <si>
    <t>Overall Average</t>
  </si>
  <si>
    <t>Beam 1</t>
  </si>
  <si>
    <t>Beam 2</t>
  </si>
  <si>
    <t>Plan_</t>
  </si>
  <si>
    <t>_</t>
  </si>
  <si>
    <t>Avg GPR</t>
  </si>
  <si>
    <t>George, Debbie</t>
  </si>
  <si>
    <t>VMAT Rectum Bst</t>
  </si>
  <si>
    <t>Adapt R Lung</t>
  </si>
  <si>
    <t>Fuqua, Paul</t>
  </si>
  <si>
    <t>Prostate Bed</t>
  </si>
  <si>
    <t>PB Boost</t>
  </si>
  <si>
    <t>Prostate</t>
  </si>
  <si>
    <t>Hunter, Odetta</t>
  </si>
  <si>
    <t>Weiffenbach, Nancy</t>
  </si>
  <si>
    <t>Endometrium</t>
  </si>
  <si>
    <t>E1 ELEKTA Beam 1 GPR</t>
  </si>
  <si>
    <t>E1 ELEKTA Beam 2 GPR</t>
  </si>
  <si>
    <t>E1 ELEKTA Plan GPR</t>
  </si>
  <si>
    <t>E2 ELEKTA Beam 1 GPR</t>
  </si>
  <si>
    <t>E2 ELEKTA Beam 2 GPR</t>
  </si>
  <si>
    <t>E2 ELEKTA Plan GPR</t>
  </si>
  <si>
    <t>E2 E2 Beam 1 GPR</t>
  </si>
  <si>
    <t>E2 E2 Beam 2 GPR</t>
  </si>
  <si>
    <t>E2 E2 Plan GPR</t>
  </si>
  <si>
    <t>Beam 1: E2 E2 - E2 ELEKTA</t>
  </si>
  <si>
    <t>Beam 2: E2 E2 - E2 ELEKTA</t>
  </si>
  <si>
    <t>Plan: E2 E2 - E2 ELEKTA</t>
  </si>
  <si>
    <t>Beam 1: E1 ELEKTA - E2 E2</t>
  </si>
  <si>
    <t>Beam 2: E1 ELEKTA - E2 E2</t>
  </si>
  <si>
    <t>Plan: E1 ELEKTA - E2 E2</t>
  </si>
  <si>
    <t>Avg. GPR difference for E1 (using ELEKTA) vs. E2 (using E2)</t>
  </si>
  <si>
    <t>Avg. GPR difference for E2 using E2 vs. E2 using ELEKTA</t>
  </si>
  <si>
    <t>Apparent Winner</t>
  </si>
  <si>
    <t>Dose</t>
  </si>
  <si>
    <t>Avg</t>
  </si>
  <si>
    <t>Nevels, Bernice</t>
  </si>
  <si>
    <t>VMAT Cervix</t>
  </si>
  <si>
    <t>E1 E2 Beam 1 GPR</t>
  </si>
  <si>
    <t>E1 E2 Beam 2 GPR</t>
  </si>
  <si>
    <t>E1 E2 Plan GPR</t>
  </si>
  <si>
    <t>Kenney, Peggy</t>
  </si>
  <si>
    <t>Holman, Justin</t>
  </si>
  <si>
    <t>Brown, Robin</t>
  </si>
  <si>
    <t>Clinard, William</t>
  </si>
  <si>
    <t>Hale, Barbara</t>
  </si>
  <si>
    <r>
      <t xml:space="preserve">Recently, IMRT QA started consistently failing on E2 even if the same plan passed very well on E1. We had a few different hypotheses:
1.  E2 needed recalibrating in Delta4. We had been using a single Radiation Device, ELEKTA, for both E1 and E2. ELEKTA is the main Elekta machine used in RayStation, and it comes from E1 measurements.
2.  A recent E2 energy adjustment had unintended consequences.
We created a new Radiation Device E2 in Delta4 and re-ran several QA plans on different machines and using different Radiation Devices. This spreadsheet compares GPRs across body sites, time, machine, and Radiation Device, and beam vs. plan.
All data uses a dose threshold of 10 percent, a DTA pass criterion of 3 mm, a dose deviation pass criterion of 2 mm, a GPR action level of 90 percent, and a GPR tolerance level of 95 percent.
The </t>
    </r>
    <r>
      <rPr>
        <b/>
        <sz val="11"/>
        <color theme="1"/>
        <rFont val="Calibri"/>
        <family val="2"/>
        <scheme val="minor"/>
      </rPr>
      <t>Machine &amp; Rad Dev Comp</t>
    </r>
    <r>
      <rPr>
        <sz val="11"/>
        <color theme="1"/>
        <rFont val="Calibri"/>
        <family val="2"/>
        <scheme val="minor"/>
      </rPr>
      <t xml:space="preserve"> sheet uses a Power Query to answer two questions:
1.  Which Radiation Device yields better results on E2</t>
    </r>
    <r>
      <rPr>
        <sz val="11"/>
        <color theme="1"/>
        <rFont val="Calibri"/>
        <family val="2"/>
      </rPr>
      <t>—ELEKTA or E2?
2.  Which machine yields better results—E1 (using Radiation Device ELEKTA) or E2 (using Radiation Device E2)?</t>
    </r>
    <r>
      <rPr>
        <sz val="11"/>
        <color theme="1"/>
        <rFont val="Calibri"/>
        <family val="2"/>
        <scheme val="minor"/>
      </rPr>
      <t xml:space="preserve">
Data from both </t>
    </r>
    <r>
      <rPr>
        <b/>
        <sz val="11"/>
        <color theme="1"/>
        <rFont val="Calibri"/>
        <family val="2"/>
        <scheme val="minor"/>
      </rPr>
      <t>All Data</t>
    </r>
    <r>
      <rPr>
        <sz val="11"/>
        <color theme="1"/>
        <rFont val="Calibri"/>
        <family val="2"/>
        <scheme val="minor"/>
      </rPr>
      <t xml:space="preserve"> and </t>
    </r>
    <r>
      <rPr>
        <b/>
        <sz val="11"/>
        <color theme="1"/>
        <rFont val="Calibri"/>
        <family val="2"/>
        <scheme val="minor"/>
      </rPr>
      <t>Machine &amp; Rad Dev Comp</t>
    </r>
    <r>
      <rPr>
        <sz val="11"/>
        <color theme="1"/>
        <rFont val="Calibri"/>
        <family val="2"/>
        <scheme val="minor"/>
      </rPr>
      <t xml:space="preserve"> are interactively analyzed and visualized on the </t>
    </r>
    <r>
      <rPr>
        <b/>
        <sz val="11"/>
        <color theme="1"/>
        <rFont val="Calibri"/>
        <family val="2"/>
        <scheme val="minor"/>
      </rPr>
      <t>Analysis</t>
    </r>
    <r>
      <rPr>
        <sz val="11"/>
        <color theme="1"/>
        <rFont val="Calibri"/>
        <family val="2"/>
        <scheme val="minor"/>
      </rPr>
      <t xml:space="preserve"> sheet. To refresh the </t>
    </r>
    <r>
      <rPr>
        <b/>
        <sz val="11"/>
        <color theme="1"/>
        <rFont val="Calibri"/>
        <family val="2"/>
        <scheme val="minor"/>
      </rPr>
      <t>Machine &amp; Rad Dev Comp</t>
    </r>
    <r>
      <rPr>
        <sz val="11"/>
        <color theme="1"/>
        <rFont val="Calibri"/>
        <family val="2"/>
        <scheme val="minor"/>
      </rPr>
      <t xml:space="preserve"> and </t>
    </r>
    <r>
      <rPr>
        <b/>
        <sz val="11"/>
        <color theme="1"/>
        <rFont val="Calibri"/>
        <family val="2"/>
        <scheme val="minor"/>
      </rPr>
      <t>Analysis</t>
    </r>
    <r>
      <rPr>
        <sz val="11"/>
        <color theme="1"/>
        <rFont val="Calibri"/>
        <family val="2"/>
        <scheme val="minor"/>
      </rPr>
      <t xml:space="preserve"> data, </t>
    </r>
    <r>
      <rPr>
        <b/>
        <sz val="11"/>
        <color theme="1"/>
        <rFont val="Calibri"/>
        <family val="2"/>
        <scheme val="minor"/>
      </rPr>
      <t>Refresh All</t>
    </r>
    <r>
      <rPr>
        <sz val="11"/>
        <color theme="1"/>
        <rFont val="Calibri"/>
        <family val="2"/>
        <scheme val="minor"/>
      </rPr>
      <t xml:space="preserve"> from the </t>
    </r>
    <r>
      <rPr>
        <b/>
        <sz val="11"/>
        <color theme="1"/>
        <rFont val="Calibri"/>
        <family val="2"/>
        <scheme val="minor"/>
      </rPr>
      <t>Analysis</t>
    </r>
    <r>
      <rPr>
        <sz val="11"/>
        <color theme="1"/>
        <rFont val="Calibri"/>
        <family val="2"/>
        <scheme val="minor"/>
      </rPr>
      <t xml:space="preserve"> sheet. Alternatively, click the </t>
    </r>
    <r>
      <rPr>
        <b/>
        <sz val="11"/>
        <color theme="1"/>
        <rFont val="Calibri"/>
        <family val="2"/>
        <scheme val="minor"/>
      </rPr>
      <t>Refresh Other Sheets</t>
    </r>
    <r>
      <rPr>
        <sz val="11"/>
        <color theme="1"/>
        <rFont val="Calibri"/>
        <family val="2"/>
        <scheme val="minor"/>
      </rPr>
      <t xml:space="preserve"> button.
Each plan is surrounded by thick outside borders.
</t>
    </r>
    <r>
      <rPr>
        <b/>
        <sz val="11"/>
        <color theme="1"/>
        <rFont val="Calibri"/>
        <family val="2"/>
        <scheme val="minor"/>
      </rPr>
      <t>Technical Note:</t>
    </r>
    <r>
      <rPr>
        <sz val="11"/>
        <color theme="1"/>
        <rFont val="Calibri"/>
        <family val="2"/>
        <scheme val="minor"/>
      </rPr>
      <t xml:space="preserve"> To replace patient names with numbers before sharing this spreadsheet (e.g., on GitHub), click the </t>
    </r>
    <r>
      <rPr>
        <b/>
        <sz val="11"/>
        <color theme="1"/>
        <rFont val="Calibri"/>
        <family val="2"/>
        <scheme val="minor"/>
      </rPr>
      <t>Redact Patient Names</t>
    </r>
    <r>
      <rPr>
        <sz val="11"/>
        <color theme="1"/>
        <rFont val="Calibri"/>
        <family val="2"/>
        <scheme val="minor"/>
      </rPr>
      <t xml:space="preserve"> button to run the </t>
    </r>
    <r>
      <rPr>
        <sz val="10"/>
        <color theme="1"/>
        <rFont val="Consolas"/>
        <family val="3"/>
      </rPr>
      <t>RedactPtNames</t>
    </r>
    <r>
      <rPr>
        <sz val="11"/>
        <color theme="1"/>
        <rFont val="Calibri"/>
        <family val="2"/>
        <scheme val="minor"/>
      </rPr>
      <t xml:space="preserve"> macro. You of course should do this to a copy, not the original spreadsheet!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</si>
</sst>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9"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color theme="0"/>
      <name val="Calibri"/>
      <family val="2"/>
      <scheme val="minor"/>
    </font>
    <font>
      <b/>
      <u/>
      <sz val="11"/>
      <color theme="1"/>
      <name val="Calibri"/>
      <family val="2"/>
      <scheme val="minor"/>
    </font>
    <font>
      <sz val="11"/>
      <color theme="1"/>
      <name val="Calibri"/>
      <family val="2"/>
    </font>
    <font>
      <sz val="11"/>
      <color rgb="FF000000"/>
      <name val="Calibri"/>
      <family val="2"/>
    </font>
    <font>
      <sz val="10"/>
      <color theme="1"/>
      <name val="Consolas"/>
      <family val="3"/>
    </font>
  </fonts>
  <fills count="4">
    <fill>
      <patternFill patternType="none"/>
    </fill>
    <fill>
      <patternFill patternType="gray125"/>
    </fill>
    <fill>
      <patternFill patternType="solid">
        <fgColor theme="1"/>
        <bgColor indexed="64"/>
      </patternFill>
    </fill>
    <fill>
      <patternFill patternType="solid">
        <fgColor theme="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68">
    <xf numFmtId="0" fontId="0" fillId="0" borderId="0" xfId="0"/>
    <xf numFmtId="0" fontId="0" fillId="0" borderId="2" xfId="0" applyFill="1" applyBorder="1"/>
    <xf numFmtId="0" fontId="0" fillId="0" borderId="1" xfId="0" applyFill="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3" fillId="0" borderId="1" xfId="0" applyFont="1" applyFill="1" applyBorder="1"/>
    <xf numFmtId="0" fontId="3" fillId="0" borderId="2" xfId="0" applyFont="1" applyFill="1" applyBorder="1"/>
    <xf numFmtId="164" fontId="0" fillId="0" borderId="2" xfId="0" applyNumberFormat="1" applyFill="1" applyBorder="1"/>
    <xf numFmtId="164" fontId="0" fillId="0" borderId="3" xfId="0" applyNumberFormat="1" applyFill="1" applyBorder="1"/>
    <xf numFmtId="164" fontId="0" fillId="0" borderId="1" xfId="0" applyNumberFormat="1" applyFill="1" applyBorder="1"/>
    <xf numFmtId="164" fontId="0" fillId="0" borderId="4" xfId="0" applyNumberFormat="1" applyFill="1" applyBorder="1"/>
    <xf numFmtId="164" fontId="3" fillId="0" borderId="1" xfId="0" applyNumberFormat="1" applyFont="1" applyFill="1" applyBorder="1"/>
    <xf numFmtId="164" fontId="3" fillId="0" borderId="4" xfId="0" applyNumberFormat="1" applyFont="1" applyFill="1" applyBorder="1"/>
    <xf numFmtId="164" fontId="3" fillId="0" borderId="2" xfId="0" applyNumberFormat="1" applyFont="1" applyFill="1" applyBorder="1"/>
    <xf numFmtId="164" fontId="3" fillId="0" borderId="3" xfId="0" applyNumberFormat="1" applyFont="1" applyFill="1" applyBorder="1"/>
    <xf numFmtId="164" fontId="0" fillId="0" borderId="0" xfId="0" applyNumberFormat="1"/>
    <xf numFmtId="0" fontId="0" fillId="0" borderId="0" xfId="0" applyNumberFormat="1"/>
    <xf numFmtId="164" fontId="0" fillId="0" borderId="0" xfId="0" applyNumberFormat="1" applyBorder="1"/>
    <xf numFmtId="14" fontId="0" fillId="0" borderId="0" xfId="0" applyNumberFormat="1"/>
    <xf numFmtId="0" fontId="0" fillId="0" borderId="0" xfId="0" applyBorder="1"/>
    <xf numFmtId="0" fontId="0" fillId="0" borderId="0" xfId="0" pivotButton="1" applyBorder="1"/>
    <xf numFmtId="0" fontId="0" fillId="0" borderId="0" xfId="0" applyBorder="1" applyAlignment="1">
      <alignment horizontal="left"/>
    </xf>
    <xf numFmtId="0" fontId="0" fillId="0" borderId="0" xfId="0" applyBorder="1" applyAlignment="1">
      <alignment horizontal="left" indent="1"/>
    </xf>
    <xf numFmtId="0" fontId="0" fillId="0" borderId="0" xfId="0" applyBorder="1" applyAlignment="1">
      <alignment horizontal="left" indent="2"/>
    </xf>
    <xf numFmtId="0" fontId="0" fillId="0" borderId="19" xfId="0" applyFill="1" applyBorder="1"/>
    <xf numFmtId="164" fontId="0" fillId="0" borderId="19" xfId="0" applyNumberFormat="1" applyFill="1" applyBorder="1"/>
    <xf numFmtId="14" fontId="0" fillId="0" borderId="20" xfId="0" applyNumberFormat="1" applyFill="1" applyBorder="1"/>
    <xf numFmtId="14" fontId="0" fillId="0" borderId="21" xfId="0" applyNumberFormat="1" applyFill="1" applyBorder="1"/>
    <xf numFmtId="14" fontId="0" fillId="0" borderId="22" xfId="0" applyNumberFormat="1" applyFill="1" applyBorder="1"/>
    <xf numFmtId="164" fontId="0" fillId="0" borderId="23" xfId="0" applyNumberFormat="1" applyFill="1" applyBorder="1"/>
    <xf numFmtId="14" fontId="1" fillId="2" borderId="24" xfId="0" applyNumberFormat="1" applyFont="1" applyFill="1" applyBorder="1"/>
    <xf numFmtId="0" fontId="1" fillId="2" borderId="25" xfId="0" applyFont="1" applyFill="1" applyBorder="1"/>
    <xf numFmtId="164" fontId="1" fillId="2" borderId="25" xfId="0" applyNumberFormat="1" applyFont="1" applyFill="1" applyBorder="1"/>
    <xf numFmtId="164" fontId="1" fillId="2" borderId="26" xfId="0" applyNumberFormat="1" applyFont="1" applyFill="1" applyBorder="1"/>
    <xf numFmtId="14" fontId="3" fillId="0" borderId="20" xfId="0" applyNumberFormat="1" applyFont="1" applyFill="1" applyBorder="1"/>
    <xf numFmtId="14" fontId="3" fillId="0" borderId="21" xfId="0" applyNumberFormat="1" applyFont="1" applyFill="1" applyBorder="1"/>
    <xf numFmtId="0" fontId="2" fillId="0" borderId="1" xfId="0" applyFont="1" applyBorder="1"/>
    <xf numFmtId="2" fontId="0" fillId="0" borderId="1" xfId="0" applyNumberFormat="1" applyBorder="1"/>
    <xf numFmtId="0" fontId="2" fillId="0" borderId="1" xfId="0" applyFont="1" applyBorder="1" applyAlignment="1">
      <alignment wrapText="1"/>
    </xf>
    <xf numFmtId="0" fontId="0" fillId="0" borderId="1" xfId="0" applyBorder="1" applyAlignment="1">
      <alignment horizontal="center" vertical="center"/>
    </xf>
    <xf numFmtId="0" fontId="5" fillId="3" borderId="1" xfId="0" applyFont="1" applyFill="1" applyBorder="1"/>
    <xf numFmtId="14" fontId="0" fillId="0" borderId="27" xfId="0" applyNumberFormat="1" applyFill="1" applyBorder="1"/>
    <xf numFmtId="0" fontId="0" fillId="0" borderId="28" xfId="0" applyFill="1" applyBorder="1"/>
    <xf numFmtId="164" fontId="0" fillId="0" borderId="28" xfId="0" applyNumberFormat="1" applyFill="1" applyBorder="1"/>
    <xf numFmtId="164" fontId="0" fillId="0" borderId="29" xfId="0" applyNumberFormat="1" applyFill="1" applyBorder="1"/>
    <xf numFmtId="164" fontId="4" fillId="2" borderId="6" xfId="0" applyNumberFormat="1" applyFont="1" applyFill="1" applyBorder="1"/>
    <xf numFmtId="14" fontId="0" fillId="0" borderId="24" xfId="0" applyNumberFormat="1" applyFill="1" applyBorder="1"/>
    <xf numFmtId="0" fontId="0" fillId="0" borderId="25" xfId="0" applyFill="1" applyBorder="1"/>
    <xf numFmtId="164" fontId="0" fillId="0" borderId="25" xfId="0" applyNumberFormat="1" applyFill="1" applyBorder="1"/>
    <xf numFmtId="164" fontId="0" fillId="0" borderId="26" xfId="0" applyNumberFormat="1" applyFill="1" applyBorder="1"/>
    <xf numFmtId="14" fontId="3" fillId="0" borderId="22" xfId="0" applyNumberFormat="1" applyFont="1" applyFill="1" applyBorder="1"/>
    <xf numFmtId="0" fontId="3" fillId="0" borderId="19" xfId="0" applyFont="1" applyFill="1" applyBorder="1"/>
    <xf numFmtId="164" fontId="3" fillId="0" borderId="19" xfId="0" applyNumberFormat="1" applyFont="1" applyFill="1" applyBorder="1"/>
    <xf numFmtId="164" fontId="3" fillId="0" borderId="23" xfId="0" applyNumberFormat="1" applyFont="1" applyFill="1" applyBorder="1"/>
    <xf numFmtId="0" fontId="0" fillId="0" borderId="16" xfId="0" applyBorder="1" applyAlignment="1">
      <alignment horizontal="left" vertical="top" wrapText="1"/>
    </xf>
    <xf numFmtId="0" fontId="0" fillId="0" borderId="17" xfId="0" applyBorder="1" applyAlignment="1">
      <alignment horizontal="left" vertical="top"/>
    </xf>
    <xf numFmtId="0" fontId="0" fillId="0" borderId="18" xfId="0" applyBorder="1" applyAlignment="1">
      <alignment horizontal="left" vertical="top"/>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2" fillId="0" borderId="0" xfId="0" applyFont="1" applyBorder="1" applyAlignment="1">
      <alignment horizontal="center"/>
    </xf>
    <xf numFmtId="0" fontId="2" fillId="0" borderId="1" xfId="0" applyFont="1" applyBorder="1" applyAlignment="1">
      <alignment horizontal="center" vertical="center" wrapText="1"/>
    </xf>
  </cellXfs>
  <cellStyles count="1">
    <cellStyle name="Normal" xfId="0" builtinId="0"/>
  </cellStyles>
  <dxfs count="15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164" formatCode="0.0"/>
    </dxf>
    <dxf>
      <numFmt numFmtId="164" formatCode="0.0"/>
    </dxf>
    <dxf>
      <numFmt numFmtId="164" formatCode="0.0"/>
    </dxf>
    <dxf>
      <numFmt numFmtId="2" formatCode="0.00"/>
    </dxf>
    <dxf>
      <border>
        <right/>
        <top/>
        <bottom/>
        <vertical/>
        <horizontal/>
      </border>
    </dxf>
    <dxf>
      <border>
        <right/>
        <top/>
        <bottom/>
        <vertical/>
        <horizontal/>
      </border>
    </dxf>
    <dxf>
      <border>
        <right/>
        <top/>
        <bottom/>
        <vertical/>
        <horizontal/>
      </border>
    </dxf>
    <dxf>
      <border>
        <right/>
        <top/>
        <bottom/>
        <vertical/>
        <horizontal/>
      </border>
    </dxf>
    <dxf>
      <border>
        <right/>
        <top/>
        <bottom/>
        <vertical/>
        <horizontal/>
      </border>
    </dxf>
    <dxf>
      <border>
        <right/>
        <top/>
        <bottom/>
        <vertical/>
        <horizontal/>
      </border>
    </dxf>
    <dxf>
      <border>
        <right/>
        <top/>
        <bottom/>
        <vertical/>
        <horizontal/>
      </border>
    </dxf>
    <dxf>
      <border>
        <right/>
        <top/>
        <bottom/>
        <vertical/>
        <horizontal/>
      </border>
    </dxf>
    <dxf>
      <border>
        <right/>
        <top/>
        <bottom/>
        <vertical/>
        <horizontal/>
      </border>
    </dxf>
    <dxf>
      <border>
        <right/>
        <top/>
        <bottom/>
        <vertical/>
        <horizontal/>
      </border>
    </dxf>
    <dxf>
      <border>
        <right/>
        <top/>
        <bottom/>
        <vertical/>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ont>
        <u/>
      </font>
    </dxf>
    <dxf>
      <font>
        <b/>
      </font>
    </dxf>
    <dxf>
      <font>
        <b val="0"/>
      </font>
    </dxf>
    <dxf>
      <font>
        <b/>
      </font>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ont>
        <u/>
      </font>
    </dxf>
    <dxf>
      <font>
        <b/>
      </font>
    </dxf>
    <dxf>
      <font>
        <b val="0"/>
      </font>
    </dxf>
    <dxf>
      <font>
        <b/>
      </font>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dxf>
    <dxf>
      <numFmt numFmtId="164" formatCode="0.0"/>
      <fill>
        <patternFill patternType="none">
          <fgColor indexed="64"/>
          <bgColor auto="1"/>
        </patternFill>
      </fill>
      <border diagonalUp="0" diagonalDown="0">
        <left style="thin">
          <color indexed="64"/>
        </left>
        <right/>
        <top style="thin">
          <color indexed="64"/>
        </top>
        <bottom style="thin">
          <color indexed="64"/>
        </bottom>
      </border>
    </dxf>
    <dxf>
      <numFmt numFmtId="164" formatCode="0.0"/>
      <fill>
        <patternFill patternType="none">
          <fgColor indexed="64"/>
          <bgColor auto="1"/>
        </patternFill>
      </fill>
      <border diagonalUp="0" diagonalDown="0">
        <left style="thin">
          <color indexed="64"/>
        </left>
        <right style="medium">
          <color indexed="64"/>
        </right>
        <top style="thin">
          <color auto="1"/>
        </top>
        <bottom style="thin">
          <color auto="1"/>
        </bottom>
        <vertical style="thin">
          <color indexed="64"/>
        </vertical>
        <horizontal style="thin">
          <color auto="1"/>
        </horizontal>
      </border>
    </dxf>
    <dxf>
      <numFmt numFmtId="164" formatCode="0.0"/>
      <fill>
        <patternFill patternType="none">
          <fgColor indexed="64"/>
          <bgColor auto="1"/>
        </patternFill>
      </fill>
      <border diagonalUp="0" diagonalDown="0">
        <left style="thin">
          <color indexed="64"/>
        </left>
        <right style="thin">
          <color indexed="64"/>
        </right>
        <top style="thin">
          <color auto="1"/>
        </top>
        <bottom style="thin">
          <color auto="1"/>
        </bottom>
        <vertical style="thin">
          <color indexed="64"/>
        </vertical>
        <horizontal style="thin">
          <color auto="1"/>
        </horizontal>
      </border>
    </dxf>
    <dxf>
      <numFmt numFmtId="164" formatCode="0.0"/>
      <fill>
        <patternFill patternType="none">
          <fgColor indexed="64"/>
          <bgColor auto="1"/>
        </patternFill>
      </fill>
      <border diagonalUp="0" diagonalDown="0">
        <left style="thin">
          <color indexed="64"/>
        </left>
        <right style="thin">
          <color indexed="64"/>
        </right>
        <top style="thin">
          <color auto="1"/>
        </top>
        <bottom style="thin">
          <color auto="1"/>
        </bottom>
        <vertical style="thin">
          <color indexed="64"/>
        </vertical>
        <horizontal style="thin">
          <color auto="1"/>
        </horizontal>
      </border>
    </dxf>
    <dxf>
      <fill>
        <patternFill patternType="none">
          <fgColor indexed="64"/>
          <bgColor auto="1"/>
        </patternFill>
      </fill>
      <border diagonalUp="0" diagonalDown="0">
        <left style="thin">
          <color indexed="64"/>
        </left>
        <right style="thin">
          <color indexed="64"/>
        </right>
        <top style="thin">
          <color auto="1"/>
        </top>
        <bottom style="thin">
          <color auto="1"/>
        </bottom>
        <vertical style="thin">
          <color indexed="64"/>
        </vertical>
        <horizontal style="thin">
          <color auto="1"/>
        </horizontal>
      </border>
    </dxf>
    <dxf>
      <fill>
        <patternFill patternType="none">
          <fgColor indexed="64"/>
          <bgColor auto="1"/>
        </patternFill>
      </fill>
      <border diagonalUp="0" diagonalDown="0">
        <left style="thin">
          <color indexed="64"/>
        </left>
        <right style="thin">
          <color indexed="64"/>
        </right>
        <top style="thin">
          <color auto="1"/>
        </top>
        <bottom style="thin">
          <color auto="1"/>
        </bottom>
        <vertical style="thin">
          <color indexed="64"/>
        </vertical>
        <horizontal style="thin">
          <color auto="1"/>
        </horizontal>
      </border>
    </dxf>
    <dxf>
      <fill>
        <patternFill patternType="none">
          <fgColor indexed="64"/>
          <bgColor auto="1"/>
        </patternFill>
      </fill>
      <border diagonalUp="0" diagonalDown="0">
        <left style="thin">
          <color indexed="64"/>
        </left>
        <right style="thin">
          <color indexed="64"/>
        </right>
        <top style="thin">
          <color auto="1"/>
        </top>
        <bottom style="thin">
          <color auto="1"/>
        </bottom>
        <vertical style="thin">
          <color indexed="64"/>
        </vertical>
        <horizontal style="thin">
          <color auto="1"/>
        </horizontal>
      </border>
    </dxf>
    <dxf>
      <fill>
        <patternFill patternType="none">
          <fgColor indexed="64"/>
          <bgColor indexed="65"/>
        </patternFill>
      </fill>
      <border diagonalUp="0" diagonalDown="0">
        <left style="thin">
          <color indexed="64"/>
        </left>
        <right style="thin">
          <color indexed="64"/>
        </right>
        <top style="thin">
          <color auto="1"/>
        </top>
        <bottom style="thin">
          <color auto="1"/>
        </bottom>
        <vertical style="thin">
          <color indexed="64"/>
        </vertical>
        <horizontal style="thin">
          <color auto="1"/>
        </horizontal>
      </border>
    </dxf>
    <dxf>
      <fill>
        <patternFill patternType="none">
          <fgColor indexed="64"/>
          <bgColor auto="1"/>
        </patternFill>
      </fill>
      <border diagonalUp="0" diagonalDown="0">
        <left style="thin">
          <color indexed="64"/>
        </left>
        <right style="thin">
          <color indexed="64"/>
        </right>
        <top style="thin">
          <color auto="1"/>
        </top>
        <bottom style="thin">
          <color auto="1"/>
        </bottom>
        <vertical style="thin">
          <color indexed="64"/>
        </vertical>
        <horizontal style="thin">
          <color auto="1"/>
        </horizontal>
      </border>
    </dxf>
    <dxf>
      <fill>
        <patternFill patternType="none">
          <fgColor indexed="64"/>
          <bgColor auto="1"/>
        </patternFill>
      </fill>
      <border diagonalUp="0" diagonalDown="0">
        <left style="thin">
          <color indexed="64"/>
        </left>
        <right style="thin">
          <color indexed="64"/>
        </right>
        <top style="thin">
          <color auto="1"/>
        </top>
        <bottom style="thin">
          <color auto="1"/>
        </bottom>
        <vertical style="thin">
          <color indexed="64"/>
        </vertical>
        <horizontal style="thin">
          <color auto="1"/>
        </horizontal>
      </border>
    </dxf>
    <dxf>
      <fill>
        <patternFill patternType="none">
          <fgColor indexed="64"/>
          <bgColor auto="1"/>
        </patternFill>
      </fill>
      <border diagonalUp="0" diagonalDown="0">
        <left style="thin">
          <color indexed="64"/>
        </left>
        <right style="thin">
          <color indexed="64"/>
        </right>
        <top style="thin">
          <color auto="1"/>
        </top>
        <bottom style="thin">
          <color auto="1"/>
        </bottom>
        <vertical style="thin">
          <color indexed="64"/>
        </vertical>
        <horizontal style="thin">
          <color auto="1"/>
        </horizontal>
      </border>
    </dxf>
    <dxf>
      <numFmt numFmtId="19" formatCode="m/d/yyyy"/>
      <fill>
        <patternFill patternType="none">
          <fgColor indexed="64"/>
          <bgColor auto="1"/>
        </patternFill>
      </fill>
      <border diagonalUp="0" diagonalDown="0">
        <left style="medium">
          <color indexed="64"/>
        </left>
        <right style="thin">
          <color indexed="64"/>
        </right>
        <top style="thin">
          <color auto="1"/>
        </top>
        <bottom style="thin">
          <color auto="1"/>
        </bottom>
        <vertical style="thin">
          <color indexed="64"/>
        </vertical>
        <horizontal style="thin">
          <color auto="1"/>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ont>
        <b/>
        <strike val="0"/>
        <outline val="0"/>
        <shadow val="0"/>
        <u val="none"/>
        <vertAlign val="baseline"/>
        <sz val="11"/>
        <color theme="0"/>
        <name val="Calibri"/>
        <scheme val="minor"/>
      </font>
      <fill>
        <patternFill patternType="solid">
          <fgColor indexed="64"/>
          <bgColor theme="1"/>
        </patternFill>
      </fill>
      <border diagonalUp="0" diagonalDown="0" outline="0">
        <left style="thin">
          <color indexed="64"/>
        </left>
        <right style="thin">
          <color indexed="64"/>
        </right>
        <top/>
        <bottom/>
      </border>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s>
  <tableStyles count="0"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microsoft.com/office/2007/relationships/slicerCache" Target="slicerCaches/slicerCache1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7/relationships/slicerCache" Target="slicerCaches/slicerCache11.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5.xml"/><Relationship Id="rId24" Type="http://schemas.openxmlformats.org/officeDocument/2006/relationships/calcChain" Target="calcChain.xml"/><Relationship Id="rId5" Type="http://schemas.openxmlformats.org/officeDocument/2006/relationships/pivotCacheDefinition" Target="pivotCache/pivotCacheDefinition2.xml"/><Relationship Id="rId15" Type="http://schemas.microsoft.com/office/2007/relationships/slicerCache" Target="slicerCaches/slicerCache9.xml"/><Relationship Id="rId23" Type="http://schemas.openxmlformats.org/officeDocument/2006/relationships/powerPivotData" Target="model/item.data"/><Relationship Id="rId10" Type="http://schemas.microsoft.com/office/2007/relationships/slicerCache" Target="slicerCaches/slicerCache4.xml"/><Relationship Id="rId19"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a:t>
            </a:r>
            <a:r>
              <a:rPr lang="en-US" baseline="0"/>
              <a:t> vs. Beam GPR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Beam 1</c:v>
          </c:tx>
          <c:spPr>
            <a:ln w="19050" cap="rnd">
              <a:noFill/>
              <a:round/>
            </a:ln>
            <a:effectLst/>
          </c:spPr>
          <c:marker>
            <c:symbol val="circle"/>
            <c:size val="4"/>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1"/>
            <c:dispEq val="0"/>
            <c:trendlineLbl>
              <c:layout>
                <c:manualLayout>
                  <c:x val="0.15317104111986013"/>
                  <c:y val="-2.019841269841269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accent2"/>
                      </a:solidFill>
                      <a:latin typeface="+mn-lt"/>
                      <a:ea typeface="+mn-ea"/>
                      <a:cs typeface="+mn-cs"/>
                    </a:defRPr>
                  </a:pPr>
                  <a:endParaRPr lang="en-US"/>
                </a:p>
              </c:txPr>
            </c:trendlineLbl>
          </c:trendline>
          <c:xVal>
            <c:numRef>
              <c:f>'All Data'!$I$5:$I$69</c:f>
              <c:numCache>
                <c:formatCode>0.0</c:formatCode>
                <c:ptCount val="65"/>
                <c:pt idx="0">
                  <c:v>97.2</c:v>
                </c:pt>
                <c:pt idx="1">
                  <c:v>88.7</c:v>
                </c:pt>
                <c:pt idx="2">
                  <c:v>100</c:v>
                </c:pt>
                <c:pt idx="3">
                  <c:v>100</c:v>
                </c:pt>
                <c:pt idx="4">
                  <c:v>99.5</c:v>
                </c:pt>
                <c:pt idx="5">
                  <c:v>100</c:v>
                </c:pt>
                <c:pt idx="6">
                  <c:v>99.3</c:v>
                </c:pt>
                <c:pt idx="7">
                  <c:v>95.2</c:v>
                </c:pt>
                <c:pt idx="8">
                  <c:v>99.3</c:v>
                </c:pt>
                <c:pt idx="9">
                  <c:v>98.5</c:v>
                </c:pt>
                <c:pt idx="10">
                  <c:v>99.7</c:v>
                </c:pt>
                <c:pt idx="11">
                  <c:v>99</c:v>
                </c:pt>
                <c:pt idx="12">
                  <c:v>97.6</c:v>
                </c:pt>
                <c:pt idx="13">
                  <c:v>96.4</c:v>
                </c:pt>
                <c:pt idx="14">
                  <c:v>98.9</c:v>
                </c:pt>
                <c:pt idx="15">
                  <c:v>99.1</c:v>
                </c:pt>
                <c:pt idx="16">
                  <c:v>99.8</c:v>
                </c:pt>
                <c:pt idx="17">
                  <c:v>97.5</c:v>
                </c:pt>
                <c:pt idx="18">
                  <c:v>99.2</c:v>
                </c:pt>
                <c:pt idx="19">
                  <c:v>99.7</c:v>
                </c:pt>
                <c:pt idx="20">
                  <c:v>99.6</c:v>
                </c:pt>
                <c:pt idx="21">
                  <c:v>96.7</c:v>
                </c:pt>
                <c:pt idx="22">
                  <c:v>98.4</c:v>
                </c:pt>
                <c:pt idx="23">
                  <c:v>99.7</c:v>
                </c:pt>
                <c:pt idx="24">
                  <c:v>81.5</c:v>
                </c:pt>
                <c:pt idx="25">
                  <c:v>87.9</c:v>
                </c:pt>
                <c:pt idx="26">
                  <c:v>98.8</c:v>
                </c:pt>
                <c:pt idx="27">
                  <c:v>92.7</c:v>
                </c:pt>
                <c:pt idx="28">
                  <c:v>98.9</c:v>
                </c:pt>
                <c:pt idx="29">
                  <c:v>95.3</c:v>
                </c:pt>
                <c:pt idx="30">
                  <c:v>97.1</c:v>
                </c:pt>
                <c:pt idx="31">
                  <c:v>99.5</c:v>
                </c:pt>
                <c:pt idx="32">
                  <c:v>94.5</c:v>
                </c:pt>
                <c:pt idx="33">
                  <c:v>99.6</c:v>
                </c:pt>
                <c:pt idx="34">
                  <c:v>99.7</c:v>
                </c:pt>
                <c:pt idx="35">
                  <c:v>100</c:v>
                </c:pt>
                <c:pt idx="36">
                  <c:v>99.6</c:v>
                </c:pt>
                <c:pt idx="37">
                  <c:v>99.2</c:v>
                </c:pt>
                <c:pt idx="38">
                  <c:v>100</c:v>
                </c:pt>
                <c:pt idx="39">
                  <c:v>99.9</c:v>
                </c:pt>
                <c:pt idx="40">
                  <c:v>96.2</c:v>
                </c:pt>
                <c:pt idx="41">
                  <c:v>99.5</c:v>
                </c:pt>
                <c:pt idx="42">
                  <c:v>98.7</c:v>
                </c:pt>
                <c:pt idx="43">
                  <c:v>98.6</c:v>
                </c:pt>
                <c:pt idx="44">
                  <c:v>99.6</c:v>
                </c:pt>
                <c:pt idx="45">
                  <c:v>99.4</c:v>
                </c:pt>
                <c:pt idx="46">
                  <c:v>94.3</c:v>
                </c:pt>
                <c:pt idx="47">
                  <c:v>96.4</c:v>
                </c:pt>
                <c:pt idx="48">
                  <c:v>96.9</c:v>
                </c:pt>
                <c:pt idx="49">
                  <c:v>99.1</c:v>
                </c:pt>
                <c:pt idx="50">
                  <c:v>96.2</c:v>
                </c:pt>
                <c:pt idx="51">
                  <c:v>99.9</c:v>
                </c:pt>
                <c:pt idx="52">
                  <c:v>98.1</c:v>
                </c:pt>
                <c:pt idx="53">
                  <c:v>99.8</c:v>
                </c:pt>
                <c:pt idx="54">
                  <c:v>99.1</c:v>
                </c:pt>
                <c:pt idx="55">
                  <c:v>91.5</c:v>
                </c:pt>
                <c:pt idx="56">
                  <c:v>99.4</c:v>
                </c:pt>
                <c:pt idx="57">
                  <c:v>99.6</c:v>
                </c:pt>
                <c:pt idx="58">
                  <c:v>100</c:v>
                </c:pt>
                <c:pt idx="59">
                  <c:v>100</c:v>
                </c:pt>
                <c:pt idx="60">
                  <c:v>100</c:v>
                </c:pt>
                <c:pt idx="61">
                  <c:v>99.8</c:v>
                </c:pt>
                <c:pt idx="62">
                  <c:v>99.1</c:v>
                </c:pt>
                <c:pt idx="63">
                  <c:v>98.4</c:v>
                </c:pt>
                <c:pt idx="64">
                  <c:v>99.9</c:v>
                </c:pt>
              </c:numCache>
            </c:numRef>
          </c:xVal>
          <c:yVal>
            <c:numRef>
              <c:f>'All Data'!$K$5:$K$69</c:f>
              <c:numCache>
                <c:formatCode>0.0</c:formatCode>
                <c:ptCount val="65"/>
                <c:pt idx="0">
                  <c:v>95.8</c:v>
                </c:pt>
                <c:pt idx="1">
                  <c:v>87</c:v>
                </c:pt>
                <c:pt idx="2">
                  <c:v>100</c:v>
                </c:pt>
                <c:pt idx="3">
                  <c:v>100</c:v>
                </c:pt>
                <c:pt idx="4">
                  <c:v>99.8</c:v>
                </c:pt>
                <c:pt idx="5">
                  <c:v>100</c:v>
                </c:pt>
                <c:pt idx="6">
                  <c:v>99.9</c:v>
                </c:pt>
                <c:pt idx="7">
                  <c:v>82.9</c:v>
                </c:pt>
                <c:pt idx="8">
                  <c:v>98.7</c:v>
                </c:pt>
                <c:pt idx="9">
                  <c:v>98.5</c:v>
                </c:pt>
                <c:pt idx="10">
                  <c:v>99.7</c:v>
                </c:pt>
                <c:pt idx="11">
                  <c:v>99</c:v>
                </c:pt>
                <c:pt idx="12">
                  <c:v>93.6</c:v>
                </c:pt>
                <c:pt idx="13">
                  <c:v>98.9</c:v>
                </c:pt>
                <c:pt idx="14">
                  <c:v>95.7</c:v>
                </c:pt>
                <c:pt idx="15">
                  <c:v>94.3</c:v>
                </c:pt>
                <c:pt idx="16">
                  <c:v>99.8</c:v>
                </c:pt>
                <c:pt idx="17">
                  <c:v>97.3</c:v>
                </c:pt>
                <c:pt idx="18">
                  <c:v>98.9</c:v>
                </c:pt>
                <c:pt idx="19">
                  <c:v>95.6</c:v>
                </c:pt>
                <c:pt idx="20">
                  <c:v>99.3</c:v>
                </c:pt>
                <c:pt idx="21">
                  <c:v>78.3</c:v>
                </c:pt>
                <c:pt idx="22">
                  <c:v>82.5</c:v>
                </c:pt>
                <c:pt idx="23">
                  <c:v>99.5</c:v>
                </c:pt>
                <c:pt idx="24">
                  <c:v>77.599999999999994</c:v>
                </c:pt>
                <c:pt idx="25">
                  <c:v>86.1</c:v>
                </c:pt>
                <c:pt idx="26">
                  <c:v>98.2</c:v>
                </c:pt>
                <c:pt idx="27">
                  <c:v>90.8</c:v>
                </c:pt>
                <c:pt idx="28">
                  <c:v>94.2</c:v>
                </c:pt>
                <c:pt idx="29">
                  <c:v>80.400000000000006</c:v>
                </c:pt>
                <c:pt idx="30">
                  <c:v>99.8</c:v>
                </c:pt>
                <c:pt idx="31">
                  <c:v>97.4</c:v>
                </c:pt>
                <c:pt idx="32">
                  <c:v>93.5</c:v>
                </c:pt>
                <c:pt idx="33">
                  <c:v>99.8</c:v>
                </c:pt>
                <c:pt idx="34">
                  <c:v>99.7</c:v>
                </c:pt>
                <c:pt idx="35">
                  <c:v>100</c:v>
                </c:pt>
                <c:pt idx="36">
                  <c:v>99.8</c:v>
                </c:pt>
                <c:pt idx="37">
                  <c:v>99.2</c:v>
                </c:pt>
                <c:pt idx="38">
                  <c:v>99.7</c:v>
                </c:pt>
                <c:pt idx="39">
                  <c:v>99.8</c:v>
                </c:pt>
                <c:pt idx="40">
                  <c:v>96.5</c:v>
                </c:pt>
                <c:pt idx="41">
                  <c:v>98.9</c:v>
                </c:pt>
                <c:pt idx="42">
                  <c:v>94.2</c:v>
                </c:pt>
                <c:pt idx="43">
                  <c:v>99.1</c:v>
                </c:pt>
                <c:pt idx="44">
                  <c:v>96.2</c:v>
                </c:pt>
                <c:pt idx="45">
                  <c:v>99.8</c:v>
                </c:pt>
                <c:pt idx="46">
                  <c:v>89</c:v>
                </c:pt>
                <c:pt idx="47">
                  <c:v>93.8</c:v>
                </c:pt>
                <c:pt idx="48">
                  <c:v>89.3</c:v>
                </c:pt>
                <c:pt idx="49">
                  <c:v>98.9</c:v>
                </c:pt>
                <c:pt idx="50">
                  <c:v>91.3</c:v>
                </c:pt>
                <c:pt idx="51">
                  <c:v>99.8</c:v>
                </c:pt>
                <c:pt idx="52">
                  <c:v>92.7</c:v>
                </c:pt>
                <c:pt idx="53">
                  <c:v>98.7</c:v>
                </c:pt>
                <c:pt idx="54">
                  <c:v>98.4</c:v>
                </c:pt>
                <c:pt idx="55">
                  <c:v>73.599999999999994</c:v>
                </c:pt>
                <c:pt idx="56">
                  <c:v>99.5</c:v>
                </c:pt>
                <c:pt idx="57">
                  <c:v>98.8</c:v>
                </c:pt>
                <c:pt idx="58">
                  <c:v>99.7</c:v>
                </c:pt>
                <c:pt idx="59">
                  <c:v>99.7</c:v>
                </c:pt>
                <c:pt idx="60">
                  <c:v>99.7</c:v>
                </c:pt>
                <c:pt idx="61">
                  <c:v>99.4</c:v>
                </c:pt>
                <c:pt idx="62">
                  <c:v>99.7</c:v>
                </c:pt>
                <c:pt idx="63">
                  <c:v>99.1</c:v>
                </c:pt>
                <c:pt idx="64">
                  <c:v>99.8</c:v>
                </c:pt>
              </c:numCache>
            </c:numRef>
          </c:yVal>
          <c:smooth val="0"/>
          <c:extLst>
            <c:ext xmlns:c16="http://schemas.microsoft.com/office/drawing/2014/chart" uri="{C3380CC4-5D6E-409C-BE32-E72D297353CC}">
              <c16:uniqueId val="{00000000-F584-4F51-8D7A-498F95C9C8BD}"/>
            </c:ext>
          </c:extLst>
        </c:ser>
        <c:ser>
          <c:idx val="0"/>
          <c:order val="1"/>
          <c:tx>
            <c:v>Beam 2</c:v>
          </c:tx>
          <c:spPr>
            <a:ln w="25400" cap="rnd">
              <a:noFill/>
              <a:round/>
            </a:ln>
            <a:effectLst/>
          </c:spPr>
          <c:marker>
            <c:symbol val="circle"/>
            <c:size val="4"/>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5594881889763779"/>
                  <c:y val="3.13888888888888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trendlineLbl>
          </c:trendline>
          <c:xVal>
            <c:numRef>
              <c:f>'All Data'!$J$5:$J$69</c:f>
              <c:numCache>
                <c:formatCode>0.0</c:formatCode>
                <c:ptCount val="65"/>
                <c:pt idx="0">
                  <c:v>98.3</c:v>
                </c:pt>
                <c:pt idx="1">
                  <c:v>96.5</c:v>
                </c:pt>
                <c:pt idx="2">
                  <c:v>100</c:v>
                </c:pt>
                <c:pt idx="3">
                  <c:v>100</c:v>
                </c:pt>
                <c:pt idx="4">
                  <c:v>100</c:v>
                </c:pt>
                <c:pt idx="5">
                  <c:v>100</c:v>
                </c:pt>
                <c:pt idx="6">
                  <c:v>99.8</c:v>
                </c:pt>
                <c:pt idx="7">
                  <c:v>92.6</c:v>
                </c:pt>
                <c:pt idx="8">
                  <c:v>99.8</c:v>
                </c:pt>
                <c:pt idx="9">
                  <c:v>99.2</c:v>
                </c:pt>
                <c:pt idx="10">
                  <c:v>99.7</c:v>
                </c:pt>
                <c:pt idx="11">
                  <c:v>99.9</c:v>
                </c:pt>
                <c:pt idx="12">
                  <c:v>96.7</c:v>
                </c:pt>
                <c:pt idx="13">
                  <c:v>99.7</c:v>
                </c:pt>
                <c:pt idx="14">
                  <c:v>97.4</c:v>
                </c:pt>
                <c:pt idx="15">
                  <c:v>98.9</c:v>
                </c:pt>
                <c:pt idx="16">
                  <c:v>99.1</c:v>
                </c:pt>
                <c:pt idx="17">
                  <c:v>96.3</c:v>
                </c:pt>
                <c:pt idx="18">
                  <c:v>99.5</c:v>
                </c:pt>
                <c:pt idx="19">
                  <c:v>95.6</c:v>
                </c:pt>
                <c:pt idx="20">
                  <c:v>99.2</c:v>
                </c:pt>
                <c:pt idx="21">
                  <c:v>83.7</c:v>
                </c:pt>
                <c:pt idx="22">
                  <c:v>85.7</c:v>
                </c:pt>
                <c:pt idx="23">
                  <c:v>99.7</c:v>
                </c:pt>
                <c:pt idx="24">
                  <c:v>86.2</c:v>
                </c:pt>
                <c:pt idx="25">
                  <c:v>92.9</c:v>
                </c:pt>
                <c:pt idx="26">
                  <c:v>98.9</c:v>
                </c:pt>
                <c:pt idx="27">
                  <c:v>97.2</c:v>
                </c:pt>
                <c:pt idx="28">
                  <c:v>97.3</c:v>
                </c:pt>
                <c:pt idx="29">
                  <c:v>85.3</c:v>
                </c:pt>
                <c:pt idx="30">
                  <c:v>98.1</c:v>
                </c:pt>
                <c:pt idx="31">
                  <c:v>97.7</c:v>
                </c:pt>
                <c:pt idx="32">
                  <c:v>96.7</c:v>
                </c:pt>
                <c:pt idx="33">
                  <c:v>99.1</c:v>
                </c:pt>
                <c:pt idx="34">
                  <c:v>100</c:v>
                </c:pt>
                <c:pt idx="35">
                  <c:v>100</c:v>
                </c:pt>
                <c:pt idx="36">
                  <c:v>99.6</c:v>
                </c:pt>
                <c:pt idx="37">
                  <c:v>98.5</c:v>
                </c:pt>
                <c:pt idx="38">
                  <c:v>99.3</c:v>
                </c:pt>
                <c:pt idx="39">
                  <c:v>99.8</c:v>
                </c:pt>
                <c:pt idx="40">
                  <c:v>98.5</c:v>
                </c:pt>
                <c:pt idx="41">
                  <c:v>98.9</c:v>
                </c:pt>
                <c:pt idx="42">
                  <c:v>95.6</c:v>
                </c:pt>
                <c:pt idx="43">
                  <c:v>99.9</c:v>
                </c:pt>
                <c:pt idx="44">
                  <c:v>96</c:v>
                </c:pt>
                <c:pt idx="45">
                  <c:v>99.5</c:v>
                </c:pt>
                <c:pt idx="46">
                  <c:v>91.5</c:v>
                </c:pt>
                <c:pt idx="47">
                  <c:v>99.7</c:v>
                </c:pt>
                <c:pt idx="48">
                  <c:v>85</c:v>
                </c:pt>
                <c:pt idx="49">
                  <c:v>99.7</c:v>
                </c:pt>
                <c:pt idx="50">
                  <c:v>96.2</c:v>
                </c:pt>
                <c:pt idx="51">
                  <c:v>99.7</c:v>
                </c:pt>
                <c:pt idx="52">
                  <c:v>96.8</c:v>
                </c:pt>
                <c:pt idx="53">
                  <c:v>99.7</c:v>
                </c:pt>
                <c:pt idx="54">
                  <c:v>99.5</c:v>
                </c:pt>
                <c:pt idx="55">
                  <c:v>92</c:v>
                </c:pt>
                <c:pt idx="56">
                  <c:v>99.4</c:v>
                </c:pt>
                <c:pt idx="57">
                  <c:v>99.6</c:v>
                </c:pt>
                <c:pt idx="58">
                  <c:v>99.7</c:v>
                </c:pt>
                <c:pt idx="59">
                  <c:v>99.7</c:v>
                </c:pt>
                <c:pt idx="60">
                  <c:v>99.7</c:v>
                </c:pt>
                <c:pt idx="61">
                  <c:v>100</c:v>
                </c:pt>
                <c:pt idx="62">
                  <c:v>99.7</c:v>
                </c:pt>
                <c:pt idx="63">
                  <c:v>97.1</c:v>
                </c:pt>
                <c:pt idx="64">
                  <c:v>99.6</c:v>
                </c:pt>
              </c:numCache>
            </c:numRef>
          </c:xVal>
          <c:yVal>
            <c:numRef>
              <c:f>'All Data'!$K$5:$K$69</c:f>
              <c:numCache>
                <c:formatCode>0.0</c:formatCode>
                <c:ptCount val="65"/>
                <c:pt idx="0">
                  <c:v>95.8</c:v>
                </c:pt>
                <c:pt idx="1">
                  <c:v>87</c:v>
                </c:pt>
                <c:pt idx="2">
                  <c:v>100</c:v>
                </c:pt>
                <c:pt idx="3">
                  <c:v>100</c:v>
                </c:pt>
                <c:pt idx="4">
                  <c:v>99.8</c:v>
                </c:pt>
                <c:pt idx="5">
                  <c:v>100</c:v>
                </c:pt>
                <c:pt idx="6">
                  <c:v>99.9</c:v>
                </c:pt>
                <c:pt idx="7">
                  <c:v>82.9</c:v>
                </c:pt>
                <c:pt idx="8">
                  <c:v>98.7</c:v>
                </c:pt>
                <c:pt idx="9">
                  <c:v>98.5</c:v>
                </c:pt>
                <c:pt idx="10">
                  <c:v>99.7</c:v>
                </c:pt>
                <c:pt idx="11">
                  <c:v>99</c:v>
                </c:pt>
                <c:pt idx="12">
                  <c:v>93.6</c:v>
                </c:pt>
                <c:pt idx="13">
                  <c:v>98.9</c:v>
                </c:pt>
                <c:pt idx="14">
                  <c:v>95.7</c:v>
                </c:pt>
                <c:pt idx="15">
                  <c:v>94.3</c:v>
                </c:pt>
                <c:pt idx="16">
                  <c:v>99.8</c:v>
                </c:pt>
                <c:pt idx="17">
                  <c:v>97.3</c:v>
                </c:pt>
                <c:pt idx="18">
                  <c:v>98.9</c:v>
                </c:pt>
                <c:pt idx="19">
                  <c:v>95.6</c:v>
                </c:pt>
                <c:pt idx="20">
                  <c:v>99.3</c:v>
                </c:pt>
                <c:pt idx="21">
                  <c:v>78.3</c:v>
                </c:pt>
                <c:pt idx="22">
                  <c:v>82.5</c:v>
                </c:pt>
                <c:pt idx="23">
                  <c:v>99.5</c:v>
                </c:pt>
                <c:pt idx="24">
                  <c:v>77.599999999999994</c:v>
                </c:pt>
                <c:pt idx="25">
                  <c:v>86.1</c:v>
                </c:pt>
                <c:pt idx="26">
                  <c:v>98.2</c:v>
                </c:pt>
                <c:pt idx="27">
                  <c:v>90.8</c:v>
                </c:pt>
                <c:pt idx="28">
                  <c:v>94.2</c:v>
                </c:pt>
                <c:pt idx="29">
                  <c:v>80.400000000000006</c:v>
                </c:pt>
                <c:pt idx="30">
                  <c:v>99.8</c:v>
                </c:pt>
                <c:pt idx="31">
                  <c:v>97.4</c:v>
                </c:pt>
                <c:pt idx="32">
                  <c:v>93.5</c:v>
                </c:pt>
                <c:pt idx="33">
                  <c:v>99.8</c:v>
                </c:pt>
                <c:pt idx="34">
                  <c:v>99.7</c:v>
                </c:pt>
                <c:pt idx="35">
                  <c:v>100</c:v>
                </c:pt>
                <c:pt idx="36">
                  <c:v>99.8</c:v>
                </c:pt>
                <c:pt idx="37">
                  <c:v>99.2</c:v>
                </c:pt>
                <c:pt idx="38">
                  <c:v>99.7</c:v>
                </c:pt>
                <c:pt idx="39">
                  <c:v>99.8</c:v>
                </c:pt>
                <c:pt idx="40">
                  <c:v>96.5</c:v>
                </c:pt>
                <c:pt idx="41">
                  <c:v>98.9</c:v>
                </c:pt>
                <c:pt idx="42">
                  <c:v>94.2</c:v>
                </c:pt>
                <c:pt idx="43">
                  <c:v>99.1</c:v>
                </c:pt>
                <c:pt idx="44">
                  <c:v>96.2</c:v>
                </c:pt>
                <c:pt idx="45">
                  <c:v>99.8</c:v>
                </c:pt>
                <c:pt idx="46">
                  <c:v>89</c:v>
                </c:pt>
                <c:pt idx="47">
                  <c:v>93.8</c:v>
                </c:pt>
                <c:pt idx="48">
                  <c:v>89.3</c:v>
                </c:pt>
                <c:pt idx="49">
                  <c:v>98.9</c:v>
                </c:pt>
                <c:pt idx="50">
                  <c:v>91.3</c:v>
                </c:pt>
                <c:pt idx="51">
                  <c:v>99.8</c:v>
                </c:pt>
                <c:pt idx="52">
                  <c:v>92.7</c:v>
                </c:pt>
                <c:pt idx="53">
                  <c:v>98.7</c:v>
                </c:pt>
                <c:pt idx="54">
                  <c:v>98.4</c:v>
                </c:pt>
                <c:pt idx="55">
                  <c:v>73.599999999999994</c:v>
                </c:pt>
                <c:pt idx="56">
                  <c:v>99.5</c:v>
                </c:pt>
                <c:pt idx="57">
                  <c:v>98.8</c:v>
                </c:pt>
                <c:pt idx="58">
                  <c:v>99.7</c:v>
                </c:pt>
                <c:pt idx="59">
                  <c:v>99.7</c:v>
                </c:pt>
                <c:pt idx="60">
                  <c:v>99.7</c:v>
                </c:pt>
                <c:pt idx="61">
                  <c:v>99.4</c:v>
                </c:pt>
                <c:pt idx="62">
                  <c:v>99.7</c:v>
                </c:pt>
                <c:pt idx="63">
                  <c:v>99.1</c:v>
                </c:pt>
                <c:pt idx="64">
                  <c:v>99.8</c:v>
                </c:pt>
              </c:numCache>
            </c:numRef>
          </c:yVal>
          <c:smooth val="0"/>
          <c:extLst>
            <c:ext xmlns:c16="http://schemas.microsoft.com/office/drawing/2014/chart" uri="{C3380CC4-5D6E-409C-BE32-E72D297353CC}">
              <c16:uniqueId val="{00000001-F584-4F51-8D7A-498F95C9C8BD}"/>
            </c:ext>
          </c:extLst>
        </c:ser>
        <c:dLbls>
          <c:showLegendKey val="0"/>
          <c:showVal val="0"/>
          <c:showCatName val="0"/>
          <c:showSerName val="0"/>
          <c:showPercent val="0"/>
          <c:showBubbleSize val="0"/>
        </c:dLbls>
        <c:axId val="706988376"/>
        <c:axId val="706981488"/>
      </c:scatterChart>
      <c:valAx>
        <c:axId val="706988376"/>
        <c:scaling>
          <c:orientation val="minMax"/>
          <c:max val="100"/>
          <c:min val="8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Beam</a:t>
                </a:r>
                <a:r>
                  <a:rPr lang="en-US" baseline="0"/>
                  <a:t> GPR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81488"/>
        <c:crosses val="autoZero"/>
        <c:crossBetween val="midCat"/>
      </c:valAx>
      <c:valAx>
        <c:axId val="7069814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Plan</a:t>
                </a:r>
                <a:r>
                  <a:rPr lang="en-US" baseline="0"/>
                  <a:t> GPR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88376"/>
        <c:crosses val="autoZero"/>
        <c:crossBetween val="midCat"/>
      </c:valAx>
      <c:spPr>
        <a:noFill/>
        <a:ln>
          <a:noFill/>
        </a:ln>
        <a:effectLst/>
      </c:spPr>
    </c:plotArea>
    <c:legend>
      <c:legendPos val="r"/>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GPR</a:t>
            </a:r>
            <a:r>
              <a:rPr lang="en-US" baseline="0"/>
              <a:t> over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Beam 1</c:v>
          </c:tx>
          <c:spPr>
            <a:ln w="12700" cap="rnd">
              <a:solidFill>
                <a:schemeClr val="accent1"/>
              </a:solidFill>
              <a:round/>
            </a:ln>
            <a:effectLst/>
          </c:spPr>
          <c:marker>
            <c:symbol val="circle"/>
            <c:size val="3"/>
            <c:spPr>
              <a:solidFill>
                <a:schemeClr val="accent1"/>
              </a:solidFill>
              <a:ln w="9525">
                <a:solidFill>
                  <a:schemeClr val="accent1"/>
                </a:solidFill>
              </a:ln>
              <a:effectLst/>
            </c:spPr>
          </c:marker>
          <c:cat>
            <c:numRef>
              <c:f>'All Data'!$A$5:$A$69</c:f>
              <c:numCache>
                <c:formatCode>m/d/yyyy</c:formatCode>
                <c:ptCount val="65"/>
                <c:pt idx="0">
                  <c:v>44690</c:v>
                </c:pt>
                <c:pt idx="1">
                  <c:v>44690</c:v>
                </c:pt>
                <c:pt idx="2">
                  <c:v>44690</c:v>
                </c:pt>
                <c:pt idx="3">
                  <c:v>44690</c:v>
                </c:pt>
                <c:pt idx="4">
                  <c:v>44690</c:v>
                </c:pt>
                <c:pt idx="5">
                  <c:v>44690</c:v>
                </c:pt>
                <c:pt idx="6">
                  <c:v>44687</c:v>
                </c:pt>
                <c:pt idx="7">
                  <c:v>44687</c:v>
                </c:pt>
                <c:pt idx="8">
                  <c:v>44686</c:v>
                </c:pt>
                <c:pt idx="9">
                  <c:v>44686</c:v>
                </c:pt>
                <c:pt idx="10">
                  <c:v>44666</c:v>
                </c:pt>
                <c:pt idx="11">
                  <c:v>44684</c:v>
                </c:pt>
                <c:pt idx="12">
                  <c:v>44691</c:v>
                </c:pt>
                <c:pt idx="13">
                  <c:v>44684</c:v>
                </c:pt>
                <c:pt idx="14">
                  <c:v>44691</c:v>
                </c:pt>
                <c:pt idx="15">
                  <c:v>44684</c:v>
                </c:pt>
                <c:pt idx="16">
                  <c:v>44677</c:v>
                </c:pt>
                <c:pt idx="17">
                  <c:v>44691</c:v>
                </c:pt>
                <c:pt idx="18">
                  <c:v>44664</c:v>
                </c:pt>
                <c:pt idx="19">
                  <c:v>44691</c:v>
                </c:pt>
                <c:pt idx="20">
                  <c:v>44686</c:v>
                </c:pt>
                <c:pt idx="21">
                  <c:v>44691</c:v>
                </c:pt>
                <c:pt idx="22">
                  <c:v>44691</c:v>
                </c:pt>
                <c:pt idx="23">
                  <c:v>44686</c:v>
                </c:pt>
                <c:pt idx="24">
                  <c:v>44691</c:v>
                </c:pt>
                <c:pt idx="25">
                  <c:v>44691</c:v>
                </c:pt>
                <c:pt idx="26">
                  <c:v>44683</c:v>
                </c:pt>
                <c:pt idx="27">
                  <c:v>44691</c:v>
                </c:pt>
                <c:pt idx="28">
                  <c:v>44673</c:v>
                </c:pt>
                <c:pt idx="29">
                  <c:v>44691</c:v>
                </c:pt>
                <c:pt idx="30">
                  <c:v>44663</c:v>
                </c:pt>
                <c:pt idx="31">
                  <c:v>44684</c:v>
                </c:pt>
                <c:pt idx="32">
                  <c:v>44664</c:v>
                </c:pt>
                <c:pt idx="33">
                  <c:v>44691</c:v>
                </c:pt>
                <c:pt idx="34">
                  <c:v>44683</c:v>
                </c:pt>
                <c:pt idx="35">
                  <c:v>44683</c:v>
                </c:pt>
                <c:pt idx="36">
                  <c:v>44676</c:v>
                </c:pt>
                <c:pt idx="37">
                  <c:v>44678</c:v>
                </c:pt>
                <c:pt idx="38">
                  <c:v>44673</c:v>
                </c:pt>
                <c:pt idx="39">
                  <c:v>44697</c:v>
                </c:pt>
                <c:pt idx="40">
                  <c:v>44697</c:v>
                </c:pt>
                <c:pt idx="41">
                  <c:v>44697</c:v>
                </c:pt>
                <c:pt idx="42">
                  <c:v>44697</c:v>
                </c:pt>
                <c:pt idx="43">
                  <c:v>44697</c:v>
                </c:pt>
                <c:pt idx="44">
                  <c:v>44697</c:v>
                </c:pt>
                <c:pt idx="45">
                  <c:v>44698</c:v>
                </c:pt>
                <c:pt idx="46">
                  <c:v>44698</c:v>
                </c:pt>
                <c:pt idx="47">
                  <c:v>44698</c:v>
                </c:pt>
                <c:pt idx="48">
                  <c:v>44698</c:v>
                </c:pt>
                <c:pt idx="49">
                  <c:v>44701</c:v>
                </c:pt>
                <c:pt idx="50">
                  <c:v>44701</c:v>
                </c:pt>
                <c:pt idx="51">
                  <c:v>44701</c:v>
                </c:pt>
                <c:pt idx="52">
                  <c:v>44701</c:v>
                </c:pt>
                <c:pt idx="53">
                  <c:v>44712</c:v>
                </c:pt>
                <c:pt idx="54">
                  <c:v>44712</c:v>
                </c:pt>
                <c:pt idx="55">
                  <c:v>44712</c:v>
                </c:pt>
                <c:pt idx="56">
                  <c:v>44715</c:v>
                </c:pt>
                <c:pt idx="57">
                  <c:v>44715</c:v>
                </c:pt>
                <c:pt idx="58">
                  <c:v>44715</c:v>
                </c:pt>
                <c:pt idx="59">
                  <c:v>44715</c:v>
                </c:pt>
                <c:pt idx="60">
                  <c:v>44715</c:v>
                </c:pt>
                <c:pt idx="61">
                  <c:v>44715</c:v>
                </c:pt>
                <c:pt idx="62">
                  <c:v>44715</c:v>
                </c:pt>
                <c:pt idx="63">
                  <c:v>44715</c:v>
                </c:pt>
                <c:pt idx="64">
                  <c:v>44715</c:v>
                </c:pt>
              </c:numCache>
            </c:numRef>
          </c:cat>
          <c:val>
            <c:numRef>
              <c:f>'All Data'!$I$5:$I$69</c:f>
              <c:numCache>
                <c:formatCode>0.0</c:formatCode>
                <c:ptCount val="65"/>
                <c:pt idx="0">
                  <c:v>97.2</c:v>
                </c:pt>
                <c:pt idx="1">
                  <c:v>88.7</c:v>
                </c:pt>
                <c:pt idx="2">
                  <c:v>100</c:v>
                </c:pt>
                <c:pt idx="3">
                  <c:v>100</c:v>
                </c:pt>
                <c:pt idx="4">
                  <c:v>99.5</c:v>
                </c:pt>
                <c:pt idx="5">
                  <c:v>100</c:v>
                </c:pt>
                <c:pt idx="6">
                  <c:v>99.3</c:v>
                </c:pt>
                <c:pt idx="7">
                  <c:v>95.2</c:v>
                </c:pt>
                <c:pt idx="8">
                  <c:v>99.3</c:v>
                </c:pt>
                <c:pt idx="9">
                  <c:v>98.5</c:v>
                </c:pt>
                <c:pt idx="10">
                  <c:v>99.7</c:v>
                </c:pt>
                <c:pt idx="11">
                  <c:v>99</c:v>
                </c:pt>
                <c:pt idx="12">
                  <c:v>97.6</c:v>
                </c:pt>
                <c:pt idx="13">
                  <c:v>96.4</c:v>
                </c:pt>
                <c:pt idx="14">
                  <c:v>98.9</c:v>
                </c:pt>
                <c:pt idx="15">
                  <c:v>99.1</c:v>
                </c:pt>
                <c:pt idx="16">
                  <c:v>99.8</c:v>
                </c:pt>
                <c:pt idx="17">
                  <c:v>97.5</c:v>
                </c:pt>
                <c:pt idx="18">
                  <c:v>99.2</c:v>
                </c:pt>
                <c:pt idx="19">
                  <c:v>99.7</c:v>
                </c:pt>
                <c:pt idx="20">
                  <c:v>99.6</c:v>
                </c:pt>
                <c:pt idx="21">
                  <c:v>96.7</c:v>
                </c:pt>
                <c:pt idx="22">
                  <c:v>98.4</c:v>
                </c:pt>
                <c:pt idx="23">
                  <c:v>99.7</c:v>
                </c:pt>
                <c:pt idx="24">
                  <c:v>81.5</c:v>
                </c:pt>
                <c:pt idx="25">
                  <c:v>87.9</c:v>
                </c:pt>
                <c:pt idx="26">
                  <c:v>98.8</c:v>
                </c:pt>
                <c:pt idx="27">
                  <c:v>92.7</c:v>
                </c:pt>
                <c:pt idx="28">
                  <c:v>98.9</c:v>
                </c:pt>
                <c:pt idx="29">
                  <c:v>95.3</c:v>
                </c:pt>
                <c:pt idx="30">
                  <c:v>97.1</c:v>
                </c:pt>
                <c:pt idx="31">
                  <c:v>99.5</c:v>
                </c:pt>
                <c:pt idx="32">
                  <c:v>94.5</c:v>
                </c:pt>
                <c:pt idx="33">
                  <c:v>99.6</c:v>
                </c:pt>
                <c:pt idx="34">
                  <c:v>99.7</c:v>
                </c:pt>
                <c:pt idx="35">
                  <c:v>100</c:v>
                </c:pt>
                <c:pt idx="36">
                  <c:v>99.6</c:v>
                </c:pt>
                <c:pt idx="37">
                  <c:v>99.2</c:v>
                </c:pt>
                <c:pt idx="38">
                  <c:v>100</c:v>
                </c:pt>
                <c:pt idx="39">
                  <c:v>99.9</c:v>
                </c:pt>
                <c:pt idx="40">
                  <c:v>96.2</c:v>
                </c:pt>
                <c:pt idx="41">
                  <c:v>99.5</c:v>
                </c:pt>
                <c:pt idx="42">
                  <c:v>98.7</c:v>
                </c:pt>
                <c:pt idx="43">
                  <c:v>98.6</c:v>
                </c:pt>
                <c:pt idx="44">
                  <c:v>99.6</c:v>
                </c:pt>
                <c:pt idx="45">
                  <c:v>99.4</c:v>
                </c:pt>
                <c:pt idx="46">
                  <c:v>94.3</c:v>
                </c:pt>
                <c:pt idx="47">
                  <c:v>96.4</c:v>
                </c:pt>
                <c:pt idx="48">
                  <c:v>96.9</c:v>
                </c:pt>
                <c:pt idx="49">
                  <c:v>99.1</c:v>
                </c:pt>
                <c:pt idx="50">
                  <c:v>96.2</c:v>
                </c:pt>
                <c:pt idx="51">
                  <c:v>99.9</c:v>
                </c:pt>
                <c:pt idx="52">
                  <c:v>98.1</c:v>
                </c:pt>
                <c:pt idx="53">
                  <c:v>99.8</c:v>
                </c:pt>
                <c:pt idx="54">
                  <c:v>99.1</c:v>
                </c:pt>
                <c:pt idx="55">
                  <c:v>91.5</c:v>
                </c:pt>
                <c:pt idx="56">
                  <c:v>99.4</c:v>
                </c:pt>
                <c:pt idx="57">
                  <c:v>99.6</c:v>
                </c:pt>
                <c:pt idx="58">
                  <c:v>100</c:v>
                </c:pt>
                <c:pt idx="59">
                  <c:v>100</c:v>
                </c:pt>
                <c:pt idx="60">
                  <c:v>100</c:v>
                </c:pt>
                <c:pt idx="61">
                  <c:v>99.8</c:v>
                </c:pt>
                <c:pt idx="62">
                  <c:v>99.1</c:v>
                </c:pt>
                <c:pt idx="63">
                  <c:v>98.4</c:v>
                </c:pt>
                <c:pt idx="64">
                  <c:v>99.9</c:v>
                </c:pt>
              </c:numCache>
            </c:numRef>
          </c:val>
          <c:smooth val="0"/>
          <c:extLst>
            <c:ext xmlns:c16="http://schemas.microsoft.com/office/drawing/2014/chart" uri="{C3380CC4-5D6E-409C-BE32-E72D297353CC}">
              <c16:uniqueId val="{00000003-7587-4BB1-BB9A-EFC8FDF15EBC}"/>
            </c:ext>
          </c:extLst>
        </c:ser>
        <c:ser>
          <c:idx val="1"/>
          <c:order val="1"/>
          <c:tx>
            <c:v>Beam 2</c:v>
          </c:tx>
          <c:spPr>
            <a:ln w="12700" cap="rnd">
              <a:solidFill>
                <a:schemeClr val="accent2"/>
              </a:solidFill>
              <a:round/>
            </a:ln>
            <a:effectLst/>
          </c:spPr>
          <c:marker>
            <c:symbol val="circle"/>
            <c:size val="3"/>
            <c:spPr>
              <a:solidFill>
                <a:schemeClr val="accent2"/>
              </a:solidFill>
              <a:ln w="9525">
                <a:solidFill>
                  <a:schemeClr val="accent2"/>
                </a:solidFill>
              </a:ln>
              <a:effectLst/>
            </c:spPr>
          </c:marker>
          <c:cat>
            <c:numRef>
              <c:f>'All Data'!$A$5:$A$69</c:f>
              <c:numCache>
                <c:formatCode>m/d/yyyy</c:formatCode>
                <c:ptCount val="65"/>
                <c:pt idx="0">
                  <c:v>44690</c:v>
                </c:pt>
                <c:pt idx="1">
                  <c:v>44690</c:v>
                </c:pt>
                <c:pt idx="2">
                  <c:v>44690</c:v>
                </c:pt>
                <c:pt idx="3">
                  <c:v>44690</c:v>
                </c:pt>
                <c:pt idx="4">
                  <c:v>44690</c:v>
                </c:pt>
                <c:pt idx="5">
                  <c:v>44690</c:v>
                </c:pt>
                <c:pt idx="6">
                  <c:v>44687</c:v>
                </c:pt>
                <c:pt idx="7">
                  <c:v>44687</c:v>
                </c:pt>
                <c:pt idx="8">
                  <c:v>44686</c:v>
                </c:pt>
                <c:pt idx="9">
                  <c:v>44686</c:v>
                </c:pt>
                <c:pt idx="10">
                  <c:v>44666</c:v>
                </c:pt>
                <c:pt idx="11">
                  <c:v>44684</c:v>
                </c:pt>
                <c:pt idx="12">
                  <c:v>44691</c:v>
                </c:pt>
                <c:pt idx="13">
                  <c:v>44684</c:v>
                </c:pt>
                <c:pt idx="14">
                  <c:v>44691</c:v>
                </c:pt>
                <c:pt idx="15">
                  <c:v>44684</c:v>
                </c:pt>
                <c:pt idx="16">
                  <c:v>44677</c:v>
                </c:pt>
                <c:pt idx="17">
                  <c:v>44691</c:v>
                </c:pt>
                <c:pt idx="18">
                  <c:v>44664</c:v>
                </c:pt>
                <c:pt idx="19">
                  <c:v>44691</c:v>
                </c:pt>
                <c:pt idx="20">
                  <c:v>44686</c:v>
                </c:pt>
                <c:pt idx="21">
                  <c:v>44691</c:v>
                </c:pt>
                <c:pt idx="22">
                  <c:v>44691</c:v>
                </c:pt>
                <c:pt idx="23">
                  <c:v>44686</c:v>
                </c:pt>
                <c:pt idx="24">
                  <c:v>44691</c:v>
                </c:pt>
                <c:pt idx="25">
                  <c:v>44691</c:v>
                </c:pt>
                <c:pt idx="26">
                  <c:v>44683</c:v>
                </c:pt>
                <c:pt idx="27">
                  <c:v>44691</c:v>
                </c:pt>
                <c:pt idx="28">
                  <c:v>44673</c:v>
                </c:pt>
                <c:pt idx="29">
                  <c:v>44691</c:v>
                </c:pt>
                <c:pt idx="30">
                  <c:v>44663</c:v>
                </c:pt>
                <c:pt idx="31">
                  <c:v>44684</c:v>
                </c:pt>
                <c:pt idx="32">
                  <c:v>44664</c:v>
                </c:pt>
                <c:pt idx="33">
                  <c:v>44691</c:v>
                </c:pt>
                <c:pt idx="34">
                  <c:v>44683</c:v>
                </c:pt>
                <c:pt idx="35">
                  <c:v>44683</c:v>
                </c:pt>
                <c:pt idx="36">
                  <c:v>44676</c:v>
                </c:pt>
                <c:pt idx="37">
                  <c:v>44678</c:v>
                </c:pt>
                <c:pt idx="38">
                  <c:v>44673</c:v>
                </c:pt>
                <c:pt idx="39">
                  <c:v>44697</c:v>
                </c:pt>
                <c:pt idx="40">
                  <c:v>44697</c:v>
                </c:pt>
                <c:pt idx="41">
                  <c:v>44697</c:v>
                </c:pt>
                <c:pt idx="42">
                  <c:v>44697</c:v>
                </c:pt>
                <c:pt idx="43">
                  <c:v>44697</c:v>
                </c:pt>
                <c:pt idx="44">
                  <c:v>44697</c:v>
                </c:pt>
                <c:pt idx="45">
                  <c:v>44698</c:v>
                </c:pt>
                <c:pt idx="46">
                  <c:v>44698</c:v>
                </c:pt>
                <c:pt idx="47">
                  <c:v>44698</c:v>
                </c:pt>
                <c:pt idx="48">
                  <c:v>44698</c:v>
                </c:pt>
                <c:pt idx="49">
                  <c:v>44701</c:v>
                </c:pt>
                <c:pt idx="50">
                  <c:v>44701</c:v>
                </c:pt>
                <c:pt idx="51">
                  <c:v>44701</c:v>
                </c:pt>
                <c:pt idx="52">
                  <c:v>44701</c:v>
                </c:pt>
                <c:pt idx="53">
                  <c:v>44712</c:v>
                </c:pt>
                <c:pt idx="54">
                  <c:v>44712</c:v>
                </c:pt>
                <c:pt idx="55">
                  <c:v>44712</c:v>
                </c:pt>
                <c:pt idx="56">
                  <c:v>44715</c:v>
                </c:pt>
                <c:pt idx="57">
                  <c:v>44715</c:v>
                </c:pt>
                <c:pt idx="58">
                  <c:v>44715</c:v>
                </c:pt>
                <c:pt idx="59">
                  <c:v>44715</c:v>
                </c:pt>
                <c:pt idx="60">
                  <c:v>44715</c:v>
                </c:pt>
                <c:pt idx="61">
                  <c:v>44715</c:v>
                </c:pt>
                <c:pt idx="62">
                  <c:v>44715</c:v>
                </c:pt>
                <c:pt idx="63">
                  <c:v>44715</c:v>
                </c:pt>
                <c:pt idx="64">
                  <c:v>44715</c:v>
                </c:pt>
              </c:numCache>
            </c:numRef>
          </c:cat>
          <c:val>
            <c:numRef>
              <c:f>'All Data'!$J$5:$J$69</c:f>
              <c:numCache>
                <c:formatCode>0.0</c:formatCode>
                <c:ptCount val="65"/>
                <c:pt idx="0">
                  <c:v>98.3</c:v>
                </c:pt>
                <c:pt idx="1">
                  <c:v>96.5</c:v>
                </c:pt>
                <c:pt idx="2">
                  <c:v>100</c:v>
                </c:pt>
                <c:pt idx="3">
                  <c:v>100</c:v>
                </c:pt>
                <c:pt idx="4">
                  <c:v>100</c:v>
                </c:pt>
                <c:pt idx="5">
                  <c:v>100</c:v>
                </c:pt>
                <c:pt idx="6">
                  <c:v>99.8</c:v>
                </c:pt>
                <c:pt idx="7">
                  <c:v>92.6</c:v>
                </c:pt>
                <c:pt idx="8">
                  <c:v>99.8</c:v>
                </c:pt>
                <c:pt idx="9">
                  <c:v>99.2</c:v>
                </c:pt>
                <c:pt idx="10">
                  <c:v>99.7</c:v>
                </c:pt>
                <c:pt idx="11">
                  <c:v>99.9</c:v>
                </c:pt>
                <c:pt idx="12">
                  <c:v>96.7</c:v>
                </c:pt>
                <c:pt idx="13">
                  <c:v>99.7</c:v>
                </c:pt>
                <c:pt idx="14">
                  <c:v>97.4</c:v>
                </c:pt>
                <c:pt idx="15">
                  <c:v>98.9</c:v>
                </c:pt>
                <c:pt idx="16">
                  <c:v>99.1</c:v>
                </c:pt>
                <c:pt idx="17">
                  <c:v>96.3</c:v>
                </c:pt>
                <c:pt idx="18">
                  <c:v>99.5</c:v>
                </c:pt>
                <c:pt idx="19">
                  <c:v>95.6</c:v>
                </c:pt>
                <c:pt idx="20">
                  <c:v>99.2</c:v>
                </c:pt>
                <c:pt idx="21">
                  <c:v>83.7</c:v>
                </c:pt>
                <c:pt idx="22">
                  <c:v>85.7</c:v>
                </c:pt>
                <c:pt idx="23">
                  <c:v>99.7</c:v>
                </c:pt>
                <c:pt idx="24">
                  <c:v>86.2</c:v>
                </c:pt>
                <c:pt idx="25">
                  <c:v>92.9</c:v>
                </c:pt>
                <c:pt idx="26">
                  <c:v>98.9</c:v>
                </c:pt>
                <c:pt idx="27">
                  <c:v>97.2</c:v>
                </c:pt>
                <c:pt idx="28">
                  <c:v>97.3</c:v>
                </c:pt>
                <c:pt idx="29">
                  <c:v>85.3</c:v>
                </c:pt>
                <c:pt idx="30">
                  <c:v>98.1</c:v>
                </c:pt>
                <c:pt idx="31">
                  <c:v>97.7</c:v>
                </c:pt>
                <c:pt idx="32">
                  <c:v>96.7</c:v>
                </c:pt>
                <c:pt idx="33">
                  <c:v>99.1</c:v>
                </c:pt>
                <c:pt idx="34">
                  <c:v>100</c:v>
                </c:pt>
                <c:pt idx="35">
                  <c:v>100</c:v>
                </c:pt>
                <c:pt idx="36">
                  <c:v>99.6</c:v>
                </c:pt>
                <c:pt idx="37">
                  <c:v>98.5</c:v>
                </c:pt>
                <c:pt idx="38">
                  <c:v>99.3</c:v>
                </c:pt>
                <c:pt idx="39">
                  <c:v>99.8</c:v>
                </c:pt>
                <c:pt idx="40">
                  <c:v>98.5</c:v>
                </c:pt>
                <c:pt idx="41">
                  <c:v>98.9</c:v>
                </c:pt>
                <c:pt idx="42">
                  <c:v>95.6</c:v>
                </c:pt>
                <c:pt idx="43">
                  <c:v>99.9</c:v>
                </c:pt>
                <c:pt idx="44">
                  <c:v>96</c:v>
                </c:pt>
                <c:pt idx="45">
                  <c:v>99.5</c:v>
                </c:pt>
                <c:pt idx="46">
                  <c:v>91.5</c:v>
                </c:pt>
                <c:pt idx="47">
                  <c:v>99.7</c:v>
                </c:pt>
                <c:pt idx="48">
                  <c:v>85</c:v>
                </c:pt>
                <c:pt idx="49">
                  <c:v>99.7</c:v>
                </c:pt>
                <c:pt idx="50">
                  <c:v>96.2</c:v>
                </c:pt>
                <c:pt idx="51">
                  <c:v>99.7</c:v>
                </c:pt>
                <c:pt idx="52">
                  <c:v>96.8</c:v>
                </c:pt>
                <c:pt idx="53">
                  <c:v>99.7</c:v>
                </c:pt>
                <c:pt idx="54">
                  <c:v>99.5</c:v>
                </c:pt>
                <c:pt idx="55">
                  <c:v>92</c:v>
                </c:pt>
                <c:pt idx="56">
                  <c:v>99.4</c:v>
                </c:pt>
                <c:pt idx="57">
                  <c:v>99.6</c:v>
                </c:pt>
                <c:pt idx="58">
                  <c:v>99.7</c:v>
                </c:pt>
                <c:pt idx="59">
                  <c:v>99.7</c:v>
                </c:pt>
                <c:pt idx="60">
                  <c:v>99.7</c:v>
                </c:pt>
                <c:pt idx="61">
                  <c:v>100</c:v>
                </c:pt>
                <c:pt idx="62">
                  <c:v>99.7</c:v>
                </c:pt>
                <c:pt idx="63">
                  <c:v>97.1</c:v>
                </c:pt>
                <c:pt idx="64">
                  <c:v>99.6</c:v>
                </c:pt>
              </c:numCache>
            </c:numRef>
          </c:val>
          <c:smooth val="0"/>
          <c:extLst>
            <c:ext xmlns:c16="http://schemas.microsoft.com/office/drawing/2014/chart" uri="{C3380CC4-5D6E-409C-BE32-E72D297353CC}">
              <c16:uniqueId val="{00000004-7587-4BB1-BB9A-EFC8FDF15EBC}"/>
            </c:ext>
          </c:extLst>
        </c:ser>
        <c:ser>
          <c:idx val="2"/>
          <c:order val="2"/>
          <c:tx>
            <c:v>Plan</c:v>
          </c:tx>
          <c:spPr>
            <a:ln w="12700" cap="rnd">
              <a:solidFill>
                <a:schemeClr val="accent3"/>
              </a:solidFill>
              <a:round/>
            </a:ln>
            <a:effectLst/>
          </c:spPr>
          <c:marker>
            <c:symbol val="circle"/>
            <c:size val="3"/>
            <c:spPr>
              <a:solidFill>
                <a:schemeClr val="accent3"/>
              </a:solidFill>
              <a:ln w="9525">
                <a:solidFill>
                  <a:schemeClr val="accent3"/>
                </a:solidFill>
              </a:ln>
              <a:effectLst/>
            </c:spPr>
          </c:marker>
          <c:cat>
            <c:numRef>
              <c:f>'All Data'!$A$5:$A$69</c:f>
              <c:numCache>
                <c:formatCode>m/d/yyyy</c:formatCode>
                <c:ptCount val="65"/>
                <c:pt idx="0">
                  <c:v>44690</c:v>
                </c:pt>
                <c:pt idx="1">
                  <c:v>44690</c:v>
                </c:pt>
                <c:pt idx="2">
                  <c:v>44690</c:v>
                </c:pt>
                <c:pt idx="3">
                  <c:v>44690</c:v>
                </c:pt>
                <c:pt idx="4">
                  <c:v>44690</c:v>
                </c:pt>
                <c:pt idx="5">
                  <c:v>44690</c:v>
                </c:pt>
                <c:pt idx="6">
                  <c:v>44687</c:v>
                </c:pt>
                <c:pt idx="7">
                  <c:v>44687</c:v>
                </c:pt>
                <c:pt idx="8">
                  <c:v>44686</c:v>
                </c:pt>
                <c:pt idx="9">
                  <c:v>44686</c:v>
                </c:pt>
                <c:pt idx="10">
                  <c:v>44666</c:v>
                </c:pt>
                <c:pt idx="11">
                  <c:v>44684</c:v>
                </c:pt>
                <c:pt idx="12">
                  <c:v>44691</c:v>
                </c:pt>
                <c:pt idx="13">
                  <c:v>44684</c:v>
                </c:pt>
                <c:pt idx="14">
                  <c:v>44691</c:v>
                </c:pt>
                <c:pt idx="15">
                  <c:v>44684</c:v>
                </c:pt>
                <c:pt idx="16">
                  <c:v>44677</c:v>
                </c:pt>
                <c:pt idx="17">
                  <c:v>44691</c:v>
                </c:pt>
                <c:pt idx="18">
                  <c:v>44664</c:v>
                </c:pt>
                <c:pt idx="19">
                  <c:v>44691</c:v>
                </c:pt>
                <c:pt idx="20">
                  <c:v>44686</c:v>
                </c:pt>
                <c:pt idx="21">
                  <c:v>44691</c:v>
                </c:pt>
                <c:pt idx="22">
                  <c:v>44691</c:v>
                </c:pt>
                <c:pt idx="23">
                  <c:v>44686</c:v>
                </c:pt>
                <c:pt idx="24">
                  <c:v>44691</c:v>
                </c:pt>
                <c:pt idx="25">
                  <c:v>44691</c:v>
                </c:pt>
                <c:pt idx="26">
                  <c:v>44683</c:v>
                </c:pt>
                <c:pt idx="27">
                  <c:v>44691</c:v>
                </c:pt>
                <c:pt idx="28">
                  <c:v>44673</c:v>
                </c:pt>
                <c:pt idx="29">
                  <c:v>44691</c:v>
                </c:pt>
                <c:pt idx="30">
                  <c:v>44663</c:v>
                </c:pt>
                <c:pt idx="31">
                  <c:v>44684</c:v>
                </c:pt>
                <c:pt idx="32">
                  <c:v>44664</c:v>
                </c:pt>
                <c:pt idx="33">
                  <c:v>44691</c:v>
                </c:pt>
                <c:pt idx="34">
                  <c:v>44683</c:v>
                </c:pt>
                <c:pt idx="35">
                  <c:v>44683</c:v>
                </c:pt>
                <c:pt idx="36">
                  <c:v>44676</c:v>
                </c:pt>
                <c:pt idx="37">
                  <c:v>44678</c:v>
                </c:pt>
                <c:pt idx="38">
                  <c:v>44673</c:v>
                </c:pt>
                <c:pt idx="39">
                  <c:v>44697</c:v>
                </c:pt>
                <c:pt idx="40">
                  <c:v>44697</c:v>
                </c:pt>
                <c:pt idx="41">
                  <c:v>44697</c:v>
                </c:pt>
                <c:pt idx="42">
                  <c:v>44697</c:v>
                </c:pt>
                <c:pt idx="43">
                  <c:v>44697</c:v>
                </c:pt>
                <c:pt idx="44">
                  <c:v>44697</c:v>
                </c:pt>
                <c:pt idx="45">
                  <c:v>44698</c:v>
                </c:pt>
                <c:pt idx="46">
                  <c:v>44698</c:v>
                </c:pt>
                <c:pt idx="47">
                  <c:v>44698</c:v>
                </c:pt>
                <c:pt idx="48">
                  <c:v>44698</c:v>
                </c:pt>
                <c:pt idx="49">
                  <c:v>44701</c:v>
                </c:pt>
                <c:pt idx="50">
                  <c:v>44701</c:v>
                </c:pt>
                <c:pt idx="51">
                  <c:v>44701</c:v>
                </c:pt>
                <c:pt idx="52">
                  <c:v>44701</c:v>
                </c:pt>
                <c:pt idx="53">
                  <c:v>44712</c:v>
                </c:pt>
                <c:pt idx="54">
                  <c:v>44712</c:v>
                </c:pt>
                <c:pt idx="55">
                  <c:v>44712</c:v>
                </c:pt>
                <c:pt idx="56">
                  <c:v>44715</c:v>
                </c:pt>
                <c:pt idx="57">
                  <c:v>44715</c:v>
                </c:pt>
                <c:pt idx="58">
                  <c:v>44715</c:v>
                </c:pt>
                <c:pt idx="59">
                  <c:v>44715</c:v>
                </c:pt>
                <c:pt idx="60">
                  <c:v>44715</c:v>
                </c:pt>
                <c:pt idx="61">
                  <c:v>44715</c:v>
                </c:pt>
                <c:pt idx="62">
                  <c:v>44715</c:v>
                </c:pt>
                <c:pt idx="63">
                  <c:v>44715</c:v>
                </c:pt>
                <c:pt idx="64">
                  <c:v>44715</c:v>
                </c:pt>
              </c:numCache>
            </c:numRef>
          </c:cat>
          <c:val>
            <c:numRef>
              <c:f>'All Data'!$K$5:$K$69</c:f>
              <c:numCache>
                <c:formatCode>0.0</c:formatCode>
                <c:ptCount val="65"/>
                <c:pt idx="0">
                  <c:v>95.8</c:v>
                </c:pt>
                <c:pt idx="1">
                  <c:v>87</c:v>
                </c:pt>
                <c:pt idx="2">
                  <c:v>100</c:v>
                </c:pt>
                <c:pt idx="3">
                  <c:v>100</c:v>
                </c:pt>
                <c:pt idx="4">
                  <c:v>99.8</c:v>
                </c:pt>
                <c:pt idx="5">
                  <c:v>100</c:v>
                </c:pt>
                <c:pt idx="6">
                  <c:v>99.9</c:v>
                </c:pt>
                <c:pt idx="7">
                  <c:v>82.9</c:v>
                </c:pt>
                <c:pt idx="8">
                  <c:v>98.7</c:v>
                </c:pt>
                <c:pt idx="9">
                  <c:v>98.5</c:v>
                </c:pt>
                <c:pt idx="10">
                  <c:v>99.7</c:v>
                </c:pt>
                <c:pt idx="11">
                  <c:v>99</c:v>
                </c:pt>
                <c:pt idx="12">
                  <c:v>93.6</c:v>
                </c:pt>
                <c:pt idx="13">
                  <c:v>98.9</c:v>
                </c:pt>
                <c:pt idx="14">
                  <c:v>95.7</c:v>
                </c:pt>
                <c:pt idx="15">
                  <c:v>94.3</c:v>
                </c:pt>
                <c:pt idx="16">
                  <c:v>99.8</c:v>
                </c:pt>
                <c:pt idx="17">
                  <c:v>97.3</c:v>
                </c:pt>
                <c:pt idx="18">
                  <c:v>98.9</c:v>
                </c:pt>
                <c:pt idx="19">
                  <c:v>95.6</c:v>
                </c:pt>
                <c:pt idx="20">
                  <c:v>99.3</c:v>
                </c:pt>
                <c:pt idx="21">
                  <c:v>78.3</c:v>
                </c:pt>
                <c:pt idx="22">
                  <c:v>82.5</c:v>
                </c:pt>
                <c:pt idx="23">
                  <c:v>99.5</c:v>
                </c:pt>
                <c:pt idx="24">
                  <c:v>77.599999999999994</c:v>
                </c:pt>
                <c:pt idx="25">
                  <c:v>86.1</c:v>
                </c:pt>
                <c:pt idx="26">
                  <c:v>98.2</c:v>
                </c:pt>
                <c:pt idx="27">
                  <c:v>90.8</c:v>
                </c:pt>
                <c:pt idx="28">
                  <c:v>94.2</c:v>
                </c:pt>
                <c:pt idx="29">
                  <c:v>80.400000000000006</c:v>
                </c:pt>
                <c:pt idx="30">
                  <c:v>99.8</c:v>
                </c:pt>
                <c:pt idx="31">
                  <c:v>97.4</c:v>
                </c:pt>
                <c:pt idx="32">
                  <c:v>93.5</c:v>
                </c:pt>
                <c:pt idx="33">
                  <c:v>99.8</c:v>
                </c:pt>
                <c:pt idx="34">
                  <c:v>99.7</c:v>
                </c:pt>
                <c:pt idx="35">
                  <c:v>100</c:v>
                </c:pt>
                <c:pt idx="36">
                  <c:v>99.8</c:v>
                </c:pt>
                <c:pt idx="37">
                  <c:v>99.2</c:v>
                </c:pt>
                <c:pt idx="38">
                  <c:v>99.7</c:v>
                </c:pt>
                <c:pt idx="39">
                  <c:v>99.8</c:v>
                </c:pt>
                <c:pt idx="40">
                  <c:v>96.5</c:v>
                </c:pt>
                <c:pt idx="41">
                  <c:v>98.9</c:v>
                </c:pt>
                <c:pt idx="42">
                  <c:v>94.2</c:v>
                </c:pt>
                <c:pt idx="43">
                  <c:v>99.1</c:v>
                </c:pt>
                <c:pt idx="44">
                  <c:v>96.2</c:v>
                </c:pt>
                <c:pt idx="45">
                  <c:v>99.8</c:v>
                </c:pt>
                <c:pt idx="46">
                  <c:v>89</c:v>
                </c:pt>
                <c:pt idx="47">
                  <c:v>93.8</c:v>
                </c:pt>
                <c:pt idx="48">
                  <c:v>89.3</c:v>
                </c:pt>
                <c:pt idx="49">
                  <c:v>98.9</c:v>
                </c:pt>
                <c:pt idx="50">
                  <c:v>91.3</c:v>
                </c:pt>
                <c:pt idx="51">
                  <c:v>99.8</c:v>
                </c:pt>
                <c:pt idx="52">
                  <c:v>92.7</c:v>
                </c:pt>
                <c:pt idx="53">
                  <c:v>98.7</c:v>
                </c:pt>
                <c:pt idx="54">
                  <c:v>98.4</c:v>
                </c:pt>
                <c:pt idx="55">
                  <c:v>73.599999999999994</c:v>
                </c:pt>
                <c:pt idx="56">
                  <c:v>99.5</c:v>
                </c:pt>
                <c:pt idx="57">
                  <c:v>98.8</c:v>
                </c:pt>
                <c:pt idx="58">
                  <c:v>99.7</c:v>
                </c:pt>
                <c:pt idx="59">
                  <c:v>99.7</c:v>
                </c:pt>
                <c:pt idx="60">
                  <c:v>99.7</c:v>
                </c:pt>
                <c:pt idx="61">
                  <c:v>99.4</c:v>
                </c:pt>
                <c:pt idx="62">
                  <c:v>99.7</c:v>
                </c:pt>
                <c:pt idx="63">
                  <c:v>99.1</c:v>
                </c:pt>
                <c:pt idx="64">
                  <c:v>99.8</c:v>
                </c:pt>
              </c:numCache>
            </c:numRef>
          </c:val>
          <c:smooth val="0"/>
          <c:extLst>
            <c:ext xmlns:c16="http://schemas.microsoft.com/office/drawing/2014/chart" uri="{C3380CC4-5D6E-409C-BE32-E72D297353CC}">
              <c16:uniqueId val="{00000005-7587-4BB1-BB9A-EFC8FDF15EBC}"/>
            </c:ext>
          </c:extLst>
        </c:ser>
        <c:dLbls>
          <c:showLegendKey val="0"/>
          <c:showVal val="0"/>
          <c:showCatName val="0"/>
          <c:showSerName val="0"/>
          <c:showPercent val="0"/>
          <c:showBubbleSize val="0"/>
        </c:dLbls>
        <c:marker val="1"/>
        <c:smooth val="0"/>
        <c:axId val="706984112"/>
        <c:axId val="706986736"/>
      </c:lineChart>
      <c:dateAx>
        <c:axId val="7069841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86736"/>
        <c:crosses val="autoZero"/>
        <c:auto val="1"/>
        <c:lblOffset val="100"/>
        <c:baseTimeUnit val="days"/>
      </c:dateAx>
      <c:valAx>
        <c:axId val="706986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GPR</a:t>
                </a:r>
                <a:r>
                  <a:rPr lang="en-US"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84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[Delta4 Absolute Cal PSQA Comparisons - REDACTED.xlsm]Analysis!Avg_GPR</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GPR</a:t>
            </a:r>
            <a:endParaRPr lang="en-US"/>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5"/>
        <c:spPr>
          <a:solidFill>
            <a:schemeClr val="accent2"/>
          </a:solidFill>
          <a:ln>
            <a:noFill/>
          </a:ln>
          <a:effectLst/>
        </c:spPr>
        <c:marker>
          <c:symbol val="none"/>
        </c:marker>
        <c:dLbl>
          <c:idx val="0"/>
          <c:numFmt formatCode="#,##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6"/>
        <c:spPr>
          <a:solidFill>
            <a:schemeClr val="accent3"/>
          </a:solidFill>
          <a:ln>
            <a:noFill/>
          </a:ln>
          <a:effectLst/>
        </c:spPr>
        <c:marker>
          <c:symbol val="none"/>
        </c:marker>
        <c:dLbl>
          <c:idx val="0"/>
          <c:numFmt formatCode="#,##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col"/>
        <c:grouping val="clustered"/>
        <c:varyColors val="0"/>
        <c:ser>
          <c:idx val="0"/>
          <c:order val="0"/>
          <c:tx>
            <c:strRef>
              <c:f>Analysis!$V$14</c:f>
              <c:strCache>
                <c:ptCount val="1"/>
                <c:pt idx="0">
                  <c:v>Beam 1</c:v>
                </c:pt>
              </c:strCache>
            </c:strRef>
          </c:tx>
          <c:spPr>
            <a:solidFill>
              <a:schemeClr val="accent1"/>
            </a:solidFill>
            <a:ln>
              <a:noFill/>
            </a:ln>
            <a:effectLst/>
          </c:spPr>
          <c:invertIfNegative val="0"/>
          <c:dLbls>
            <c:numFmt formatCode="#,##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multiLvlStrRef>
              <c:f>Analysis!$U$15:$U$27</c:f>
              <c:multiLvlStrCache>
                <c:ptCount val="6"/>
                <c:lvl>
                  <c:pt idx="0">
                    <c:v>After</c:v>
                  </c:pt>
                  <c:pt idx="1">
                    <c:v>Before</c:v>
                  </c:pt>
                  <c:pt idx="2">
                    <c:v>After</c:v>
                  </c:pt>
                  <c:pt idx="3">
                    <c:v>After</c:v>
                  </c:pt>
                  <c:pt idx="4">
                    <c:v>Before</c:v>
                  </c:pt>
                  <c:pt idx="5">
                    <c:v>After</c:v>
                  </c:pt>
                </c:lvl>
                <c:lvl>
                  <c:pt idx="0">
                    <c:v>E2</c:v>
                  </c:pt>
                  <c:pt idx="1">
                    <c:v>ELEKTA</c:v>
                  </c:pt>
                  <c:pt idx="3">
                    <c:v>E2</c:v>
                  </c:pt>
                  <c:pt idx="4">
                    <c:v>ELEKTA</c:v>
                  </c:pt>
                </c:lvl>
                <c:lvl>
                  <c:pt idx="0">
                    <c:v>E1</c:v>
                  </c:pt>
                  <c:pt idx="3">
                    <c:v>E2</c:v>
                  </c:pt>
                </c:lvl>
              </c:multiLvlStrCache>
            </c:multiLvlStrRef>
          </c:cat>
          <c:val>
            <c:numRef>
              <c:f>Analysis!$V$15:$V$27</c:f>
              <c:numCache>
                <c:formatCode>0.0</c:formatCode>
                <c:ptCount val="6"/>
                <c:pt idx="0">
                  <c:v>99.1</c:v>
                </c:pt>
                <c:pt idx="1">
                  <c:v>98.428571428571431</c:v>
                </c:pt>
                <c:pt idx="2">
                  <c:v>99.119230769230782</c:v>
                </c:pt>
                <c:pt idx="3">
                  <c:v>97.158823529411748</c:v>
                </c:pt>
                <c:pt idx="4">
                  <c:v>99.5</c:v>
                </c:pt>
                <c:pt idx="5">
                  <c:v>95.566666666666677</c:v>
                </c:pt>
              </c:numCache>
            </c:numRef>
          </c:val>
          <c:extLst>
            <c:ext xmlns:c16="http://schemas.microsoft.com/office/drawing/2014/chart" uri="{C3380CC4-5D6E-409C-BE32-E72D297353CC}">
              <c16:uniqueId val="{00000000-481A-415D-802A-23DBFA80991F}"/>
            </c:ext>
          </c:extLst>
        </c:ser>
        <c:ser>
          <c:idx val="1"/>
          <c:order val="1"/>
          <c:tx>
            <c:strRef>
              <c:f>Analysis!$W$14</c:f>
              <c:strCache>
                <c:ptCount val="1"/>
                <c:pt idx="0">
                  <c:v>Beam 2</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multiLvlStrRef>
              <c:f>Analysis!$U$15:$U$27</c:f>
              <c:multiLvlStrCache>
                <c:ptCount val="6"/>
                <c:lvl>
                  <c:pt idx="0">
                    <c:v>After</c:v>
                  </c:pt>
                  <c:pt idx="1">
                    <c:v>Before</c:v>
                  </c:pt>
                  <c:pt idx="2">
                    <c:v>After</c:v>
                  </c:pt>
                  <c:pt idx="3">
                    <c:v>After</c:v>
                  </c:pt>
                  <c:pt idx="4">
                    <c:v>Before</c:v>
                  </c:pt>
                  <c:pt idx="5">
                    <c:v>After</c:v>
                  </c:pt>
                </c:lvl>
                <c:lvl>
                  <c:pt idx="0">
                    <c:v>E2</c:v>
                  </c:pt>
                  <c:pt idx="1">
                    <c:v>ELEKTA</c:v>
                  </c:pt>
                  <c:pt idx="3">
                    <c:v>E2</c:v>
                  </c:pt>
                  <c:pt idx="4">
                    <c:v>ELEKTA</c:v>
                  </c:pt>
                </c:lvl>
                <c:lvl>
                  <c:pt idx="0">
                    <c:v>E1</c:v>
                  </c:pt>
                  <c:pt idx="3">
                    <c:v>E2</c:v>
                  </c:pt>
                </c:lvl>
              </c:multiLvlStrCache>
            </c:multiLvlStrRef>
          </c:cat>
          <c:val>
            <c:numRef>
              <c:f>Analysis!$W$15:$W$27</c:f>
              <c:numCache>
                <c:formatCode>0.0</c:formatCode>
                <c:ptCount val="6"/>
                <c:pt idx="0">
                  <c:v>99.5</c:v>
                </c:pt>
                <c:pt idx="1">
                  <c:v>98.6</c:v>
                </c:pt>
                <c:pt idx="2">
                  <c:v>99.553846153846138</c:v>
                </c:pt>
                <c:pt idx="3">
                  <c:v>95.28235294117647</c:v>
                </c:pt>
                <c:pt idx="4">
                  <c:v>98.8</c:v>
                </c:pt>
                <c:pt idx="5">
                  <c:v>94.25833333333334</c:v>
                </c:pt>
              </c:numCache>
            </c:numRef>
          </c:val>
          <c:extLst>
            <c:ext xmlns:c16="http://schemas.microsoft.com/office/drawing/2014/chart" uri="{C3380CC4-5D6E-409C-BE32-E72D297353CC}">
              <c16:uniqueId val="{00000001-481A-415D-802A-23DBFA80991F}"/>
            </c:ext>
          </c:extLst>
        </c:ser>
        <c:ser>
          <c:idx val="2"/>
          <c:order val="2"/>
          <c:tx>
            <c:strRef>
              <c:f>Analysis!$X$14</c:f>
              <c:strCache>
                <c:ptCount val="1"/>
                <c:pt idx="0">
                  <c:v>Plan_</c:v>
                </c:pt>
              </c:strCache>
            </c:strRef>
          </c:tx>
          <c:spPr>
            <a:solidFill>
              <a:schemeClr val="accent3"/>
            </a:solidFill>
            <a:ln>
              <a:noFill/>
            </a:ln>
            <a:effectLst/>
          </c:spPr>
          <c:invertIfNegative val="0"/>
          <c:dLbls>
            <c:numFmt formatCode="#,##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multiLvlStrRef>
              <c:f>Analysis!$U$15:$U$27</c:f>
              <c:multiLvlStrCache>
                <c:ptCount val="6"/>
                <c:lvl>
                  <c:pt idx="0">
                    <c:v>After</c:v>
                  </c:pt>
                  <c:pt idx="1">
                    <c:v>Before</c:v>
                  </c:pt>
                  <c:pt idx="2">
                    <c:v>After</c:v>
                  </c:pt>
                  <c:pt idx="3">
                    <c:v>After</c:v>
                  </c:pt>
                  <c:pt idx="4">
                    <c:v>Before</c:v>
                  </c:pt>
                  <c:pt idx="5">
                    <c:v>After</c:v>
                  </c:pt>
                </c:lvl>
                <c:lvl>
                  <c:pt idx="0">
                    <c:v>E2</c:v>
                  </c:pt>
                  <c:pt idx="1">
                    <c:v>ELEKTA</c:v>
                  </c:pt>
                  <c:pt idx="3">
                    <c:v>E2</c:v>
                  </c:pt>
                  <c:pt idx="4">
                    <c:v>ELEKTA</c:v>
                  </c:pt>
                </c:lvl>
                <c:lvl>
                  <c:pt idx="0">
                    <c:v>E1</c:v>
                  </c:pt>
                  <c:pt idx="3">
                    <c:v>E2</c:v>
                  </c:pt>
                </c:lvl>
              </c:multiLvlStrCache>
            </c:multiLvlStrRef>
          </c:cat>
          <c:val>
            <c:numRef>
              <c:f>Analysis!$X$15:$X$27</c:f>
              <c:numCache>
                <c:formatCode>0.0</c:formatCode>
                <c:ptCount val="6"/>
                <c:pt idx="0">
                  <c:v>98.4</c:v>
                </c:pt>
                <c:pt idx="1">
                  <c:v>97.94285714285715</c:v>
                </c:pt>
                <c:pt idx="2">
                  <c:v>98.799999999999969</c:v>
                </c:pt>
                <c:pt idx="3">
                  <c:v>92.794117647058826</c:v>
                </c:pt>
                <c:pt idx="4">
                  <c:v>99.5</c:v>
                </c:pt>
                <c:pt idx="5">
                  <c:v>90.608333333333306</c:v>
                </c:pt>
              </c:numCache>
            </c:numRef>
          </c:val>
          <c:extLst>
            <c:ext xmlns:c16="http://schemas.microsoft.com/office/drawing/2014/chart" uri="{C3380CC4-5D6E-409C-BE32-E72D297353CC}">
              <c16:uniqueId val="{00000002-481A-415D-802A-23DBFA80991F}"/>
            </c:ext>
          </c:extLst>
        </c:ser>
        <c:dLbls>
          <c:dLblPos val="outEnd"/>
          <c:showLegendKey val="0"/>
          <c:showVal val="1"/>
          <c:showCatName val="0"/>
          <c:showSerName val="0"/>
          <c:showPercent val="0"/>
          <c:showBubbleSize val="0"/>
        </c:dLbls>
        <c:gapWidth val="219"/>
        <c:overlap val="-27"/>
        <c:axId val="706972960"/>
        <c:axId val="706970008"/>
      </c:barChart>
      <c:catAx>
        <c:axId val="70697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70008"/>
        <c:crosses val="autoZero"/>
        <c:auto val="1"/>
        <c:lblAlgn val="ctr"/>
        <c:lblOffset val="100"/>
        <c:noMultiLvlLbl val="0"/>
      </c:catAx>
      <c:valAx>
        <c:axId val="706970008"/>
        <c:scaling>
          <c:orientation val="minMax"/>
          <c:max val="100"/>
          <c:min val="7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GPR</a:t>
                </a:r>
                <a:r>
                  <a:rPr lang="en-US" baseline="0"/>
                  <a:t> (%)</a:t>
                </a:r>
                <a:endParaRPr lang="en-US"/>
              </a:p>
            </c:rich>
          </c:tx>
          <c:overlay val="0"/>
          <c:spPr>
            <a:noFill/>
            <a:ln>
              <a:noFill/>
            </a:ln>
            <a:effectLst/>
          </c:spPr>
        </c:title>
        <c:numFmt formatCode="0.0" sourceLinked="1"/>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72960"/>
        <c:crosses val="autoZero"/>
        <c:crossBetween val="between"/>
        <c:majorUnit val="5"/>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9525</xdr:colOff>
          <xdr:row>3</xdr:row>
          <xdr:rowOff>19050</xdr:rowOff>
        </xdr:from>
        <xdr:to>
          <xdr:col>16</xdr:col>
          <xdr:colOff>19050</xdr:colOff>
          <xdr:row>4</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Other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5</xdr:row>
          <xdr:rowOff>9525</xdr:rowOff>
        </xdr:from>
        <xdr:to>
          <xdr:col>16</xdr:col>
          <xdr:colOff>9525</xdr:colOff>
          <xdr:row>6</xdr:row>
          <xdr:rowOff>19050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Redact Patient 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156483</xdr:colOff>
      <xdr:row>12</xdr:row>
      <xdr:rowOff>0</xdr:rowOff>
    </xdr:to>
    <mc:AlternateContent xmlns:mc="http://schemas.openxmlformats.org/markup-compatibility/2006" xmlns:sle15="http://schemas.microsoft.com/office/drawing/2012/slicer">
      <mc:Choice Requires="sle15">
        <xdr:graphicFrame macro="">
          <xdr:nvGraphicFramePr>
            <xdr:cNvPr id="2" name="Body Site 1"/>
            <xdr:cNvGraphicFramePr/>
          </xdr:nvGraphicFramePr>
          <xdr:xfrm>
            <a:off x="0" y="0"/>
            <a:ext cx="0" cy="0"/>
          </xdr:xfrm>
          <a:graphic>
            <a:graphicData uri="http://schemas.microsoft.com/office/drawing/2010/slicer">
              <sle:slicer xmlns:sle="http://schemas.microsoft.com/office/drawing/2010/slicer" name="Body Site 1"/>
            </a:graphicData>
          </a:graphic>
        </xdr:graphicFrame>
      </mc:Choice>
      <mc:Fallback xmlns="">
        <xdr:sp macro="" textlink="">
          <xdr:nvSpPr>
            <xdr:cNvPr id="0" name=""/>
            <xdr:cNvSpPr>
              <a:spLocks noTextEdit="1"/>
            </xdr:cNvSpPr>
          </xdr:nvSpPr>
          <xdr:spPr>
            <a:xfrm>
              <a:off x="0" y="0"/>
              <a:ext cx="1266825" cy="2286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9524</xdr:colOff>
      <xdr:row>13</xdr:row>
      <xdr:rowOff>0</xdr:rowOff>
    </xdr:from>
    <xdr:to>
      <xdr:col>6</xdr:col>
      <xdr:colOff>468357</xdr:colOff>
      <xdr:row>29</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19050</xdr:colOff>
      <xdr:row>13</xdr:row>
      <xdr:rowOff>0</xdr:rowOff>
    </xdr:from>
    <xdr:to>
      <xdr:col>18</xdr:col>
      <xdr:colOff>405765</xdr:colOff>
      <xdr:row>29</xdr:row>
      <xdr:rowOff>152400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127907</xdr:colOff>
      <xdr:row>0</xdr:row>
      <xdr:rowOff>0</xdr:rowOff>
    </xdr:from>
    <xdr:to>
      <xdr:col>4</xdr:col>
      <xdr:colOff>757918</xdr:colOff>
      <xdr:row>12</xdr:row>
      <xdr:rowOff>0</xdr:rowOff>
    </xdr:to>
    <mc:AlternateContent xmlns:mc="http://schemas.openxmlformats.org/markup-compatibility/2006" xmlns:sle15="http://schemas.microsoft.com/office/drawing/2012/slicer">
      <mc:Choice Requires="sle15">
        <xdr:graphicFrame macro="">
          <xdr:nvGraphicFramePr>
            <xdr:cNvPr id="6" name="Tx Technique"/>
            <xdr:cNvGraphicFramePr/>
          </xdr:nvGraphicFramePr>
          <xdr:xfrm>
            <a:off x="0" y="0"/>
            <a:ext cx="0" cy="0"/>
          </xdr:xfrm>
          <a:graphic>
            <a:graphicData uri="http://schemas.microsoft.com/office/drawing/2010/slicer">
              <sle:slicer xmlns:sle="http://schemas.microsoft.com/office/drawing/2010/slicer" name="Tx Technique"/>
            </a:graphicData>
          </a:graphic>
        </xdr:graphicFrame>
      </mc:Choice>
      <mc:Fallback xmlns="">
        <xdr:sp macro="" textlink="">
          <xdr:nvSpPr>
            <xdr:cNvPr id="0" name=""/>
            <xdr:cNvSpPr>
              <a:spLocks noTextEdit="1"/>
            </xdr:cNvSpPr>
          </xdr:nvSpPr>
          <xdr:spPr>
            <a:xfrm>
              <a:off x="1238249" y="0"/>
              <a:ext cx="1466851" cy="2286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729343</xdr:colOff>
      <xdr:row>0</xdr:row>
      <xdr:rowOff>0</xdr:rowOff>
    </xdr:from>
    <xdr:to>
      <xdr:col>5</xdr:col>
      <xdr:colOff>83004</xdr:colOff>
      <xdr:row>12</xdr:row>
      <xdr:rowOff>0</xdr:rowOff>
    </xdr:to>
    <mc:AlternateContent xmlns:mc="http://schemas.openxmlformats.org/markup-compatibility/2006" xmlns:sle15="http://schemas.microsoft.com/office/drawing/2012/slicer">
      <mc:Choice Requires="sle15">
        <xdr:graphicFrame macro="">
          <xdr:nvGraphicFramePr>
            <xdr:cNvPr id="7" name="Machine"/>
            <xdr:cNvGraphicFramePr/>
          </xdr:nvGraphicFramePr>
          <xdr:xfrm>
            <a:off x="0" y="0"/>
            <a:ext cx="0" cy="0"/>
          </xdr:xfrm>
          <a:graphic>
            <a:graphicData uri="http://schemas.microsoft.com/office/drawing/2010/slicer">
              <sle:slicer xmlns:sle="http://schemas.microsoft.com/office/drawing/2010/slicer" name="Machine"/>
            </a:graphicData>
          </a:graphic>
        </xdr:graphicFrame>
      </mc:Choice>
      <mc:Fallback xmlns="">
        <xdr:sp macro="" textlink="">
          <xdr:nvSpPr>
            <xdr:cNvPr id="0" name=""/>
            <xdr:cNvSpPr>
              <a:spLocks noTextEdit="1"/>
            </xdr:cNvSpPr>
          </xdr:nvSpPr>
          <xdr:spPr>
            <a:xfrm>
              <a:off x="2676525" y="0"/>
              <a:ext cx="1228725" cy="2286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63953</xdr:colOff>
      <xdr:row>0</xdr:row>
      <xdr:rowOff>0</xdr:rowOff>
    </xdr:from>
    <xdr:to>
      <xdr:col>12</xdr:col>
      <xdr:colOff>315685</xdr:colOff>
      <xdr:row>12</xdr:row>
      <xdr:rowOff>0</xdr:rowOff>
    </xdr:to>
    <mc:AlternateContent xmlns:mc="http://schemas.openxmlformats.org/markup-compatibility/2006" xmlns:sle15="http://schemas.microsoft.com/office/drawing/2012/slicer">
      <mc:Choice Requires="sle15">
        <xdr:graphicFrame macro="">
          <xdr:nvGraphicFramePr>
            <xdr:cNvPr id="8" name="TreatmentMachineName / Radiation Device"/>
            <xdr:cNvGraphicFramePr/>
          </xdr:nvGraphicFramePr>
          <xdr:xfrm>
            <a:off x="0" y="0"/>
            <a:ext cx="0" cy="0"/>
          </xdr:xfrm>
          <a:graphic>
            <a:graphicData uri="http://schemas.microsoft.com/office/drawing/2010/slicer">
              <sle:slicer xmlns:sle="http://schemas.microsoft.com/office/drawing/2010/slicer" name="TreatmentMachineName / Radiation Device"/>
            </a:graphicData>
          </a:graphic>
        </xdr:graphicFrame>
      </mc:Choice>
      <mc:Fallback xmlns="">
        <xdr:sp macro="" textlink="">
          <xdr:nvSpPr>
            <xdr:cNvPr id="0" name=""/>
            <xdr:cNvSpPr>
              <a:spLocks noTextEdit="1"/>
            </xdr:cNvSpPr>
          </xdr:nvSpPr>
          <xdr:spPr>
            <a:xfrm>
              <a:off x="3886199" y="0"/>
              <a:ext cx="3257551" cy="2286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24</xdr:col>
      <xdr:colOff>123825</xdr:colOff>
      <xdr:row>12</xdr:row>
      <xdr:rowOff>180975</xdr:rowOff>
    </xdr:from>
    <xdr:to>
      <xdr:col>29</xdr:col>
      <xdr:colOff>142875</xdr:colOff>
      <xdr:row>27</xdr:row>
      <xdr:rowOff>66675</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1200150</xdr:colOff>
      <xdr:row>0</xdr:row>
      <xdr:rowOff>0</xdr:rowOff>
    </xdr:from>
    <xdr:to>
      <xdr:col>33</xdr:col>
      <xdr:colOff>390526</xdr:colOff>
      <xdr:row>12</xdr:row>
      <xdr:rowOff>0</xdr:rowOff>
    </xdr:to>
    <mc:AlternateContent xmlns:mc="http://schemas.openxmlformats.org/markup-compatibility/2006" xmlns:a14="http://schemas.microsoft.com/office/drawing/2010/main">
      <mc:Choice Requires="a14">
        <xdr:graphicFrame macro="">
          <xdr:nvGraphicFramePr>
            <xdr:cNvPr id="12" name="Before/After Energy Adjustment"/>
            <xdr:cNvGraphicFramePr/>
          </xdr:nvGraphicFramePr>
          <xdr:xfrm>
            <a:off x="0" y="0"/>
            <a:ext cx="0" cy="0"/>
          </xdr:xfrm>
          <a:graphic>
            <a:graphicData uri="http://schemas.microsoft.com/office/drawing/2010/slicer">
              <sle:slicer xmlns:sle="http://schemas.microsoft.com/office/drawing/2010/slicer" name="Before/After Energy Adjustment"/>
            </a:graphicData>
          </a:graphic>
        </xdr:graphicFrame>
      </mc:Choice>
      <mc:Fallback xmlns="">
        <xdr:sp macro="" textlink="">
          <xdr:nvSpPr>
            <xdr:cNvPr id="0" name=""/>
            <xdr:cNvSpPr>
              <a:spLocks noTextEdit="1"/>
            </xdr:cNvSpPr>
          </xdr:nvSpPr>
          <xdr:spPr>
            <a:xfrm>
              <a:off x="20373975" y="0"/>
              <a:ext cx="2619376"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123825</xdr:colOff>
      <xdr:row>0</xdr:row>
      <xdr:rowOff>0</xdr:rowOff>
    </xdr:from>
    <xdr:to>
      <xdr:col>21</xdr:col>
      <xdr:colOff>104775</xdr:colOff>
      <xdr:row>12</xdr:row>
      <xdr:rowOff>0</xdr:rowOff>
    </xdr:to>
    <mc:AlternateContent xmlns:mc="http://schemas.openxmlformats.org/markup-compatibility/2006" xmlns:a14="http://schemas.microsoft.com/office/drawing/2010/main">
      <mc:Choice Requires="a14">
        <xdr:graphicFrame macro="">
          <xdr:nvGraphicFramePr>
            <xdr:cNvPr id="15"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0115550" y="0"/>
              <a:ext cx="1295400"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85725</xdr:colOff>
      <xdr:row>0</xdr:row>
      <xdr:rowOff>0</xdr:rowOff>
    </xdr:from>
    <xdr:to>
      <xdr:col>24</xdr:col>
      <xdr:colOff>390525</xdr:colOff>
      <xdr:row>12</xdr:row>
      <xdr:rowOff>0</xdr:rowOff>
    </xdr:to>
    <mc:AlternateContent xmlns:mc="http://schemas.openxmlformats.org/markup-compatibility/2006" xmlns:a14="http://schemas.microsoft.com/office/drawing/2010/main">
      <mc:Choice Requires="a14">
        <xdr:graphicFrame macro="">
          <xdr:nvGraphicFramePr>
            <xdr:cNvPr id="16" name="Pt"/>
            <xdr:cNvGraphicFramePr/>
          </xdr:nvGraphicFramePr>
          <xdr:xfrm>
            <a:off x="0" y="0"/>
            <a:ext cx="0" cy="0"/>
          </xdr:xfrm>
          <a:graphic>
            <a:graphicData uri="http://schemas.microsoft.com/office/drawing/2010/slicer">
              <sle:slicer xmlns:sle="http://schemas.microsoft.com/office/drawing/2010/slicer" name="Pt"/>
            </a:graphicData>
          </a:graphic>
        </xdr:graphicFrame>
      </mc:Choice>
      <mc:Fallback xmlns="">
        <xdr:sp macro="" textlink="">
          <xdr:nvSpPr>
            <xdr:cNvPr id="0" name=""/>
            <xdr:cNvSpPr>
              <a:spLocks noTextEdit="1"/>
            </xdr:cNvSpPr>
          </xdr:nvSpPr>
          <xdr:spPr>
            <a:xfrm>
              <a:off x="11391900" y="0"/>
              <a:ext cx="1685925"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27</xdr:col>
      <xdr:colOff>304800</xdr:colOff>
      <xdr:row>0</xdr:row>
      <xdr:rowOff>0</xdr:rowOff>
    </xdr:from>
    <xdr:to>
      <xdr:col>28</xdr:col>
      <xdr:colOff>19050</xdr:colOff>
      <xdr:row>12</xdr:row>
      <xdr:rowOff>0</xdr:rowOff>
    </xdr:to>
    <mc:AlternateContent xmlns:mc="http://schemas.openxmlformats.org/markup-compatibility/2006" xmlns:a14="http://schemas.microsoft.com/office/drawing/2010/main">
      <mc:Choice Requires="a14">
        <xdr:graphicFrame macro="">
          <xdr:nvGraphicFramePr>
            <xdr:cNvPr id="17" name="Tx Technique 1"/>
            <xdr:cNvGraphicFramePr/>
          </xdr:nvGraphicFramePr>
          <xdr:xfrm>
            <a:off x="0" y="0"/>
            <a:ext cx="0" cy="0"/>
          </xdr:xfrm>
          <a:graphic>
            <a:graphicData uri="http://schemas.microsoft.com/office/drawing/2010/slicer">
              <sle:slicer xmlns:sle="http://schemas.microsoft.com/office/drawing/2010/slicer" name="Tx Technique 1"/>
            </a:graphicData>
          </a:graphic>
        </xdr:graphicFrame>
      </mc:Choice>
      <mc:Fallback xmlns="">
        <xdr:sp macro="" textlink="">
          <xdr:nvSpPr>
            <xdr:cNvPr id="0" name=""/>
            <xdr:cNvSpPr>
              <a:spLocks noTextEdit="1"/>
            </xdr:cNvSpPr>
          </xdr:nvSpPr>
          <xdr:spPr>
            <a:xfrm>
              <a:off x="15878175" y="0"/>
              <a:ext cx="1514475"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381000</xdr:colOff>
      <xdr:row>0</xdr:row>
      <xdr:rowOff>0</xdr:rowOff>
    </xdr:from>
    <xdr:to>
      <xdr:col>25</xdr:col>
      <xdr:colOff>1190625</xdr:colOff>
      <xdr:row>12</xdr:row>
      <xdr:rowOff>0</xdr:rowOff>
    </xdr:to>
    <mc:AlternateContent xmlns:mc="http://schemas.openxmlformats.org/markup-compatibility/2006" xmlns:a14="http://schemas.microsoft.com/office/drawing/2010/main">
      <mc:Choice Requires="a14">
        <xdr:graphicFrame macro="">
          <xdr:nvGraphicFramePr>
            <xdr:cNvPr id="18" name="Plan"/>
            <xdr:cNvGraphicFramePr/>
          </xdr:nvGraphicFramePr>
          <xdr:xfrm>
            <a:off x="0" y="0"/>
            <a:ext cx="0" cy="0"/>
          </xdr:xfrm>
          <a:graphic>
            <a:graphicData uri="http://schemas.microsoft.com/office/drawing/2010/slicer">
              <sle:slicer xmlns:sle="http://schemas.microsoft.com/office/drawing/2010/slicer" name="Plan"/>
            </a:graphicData>
          </a:graphic>
        </xdr:graphicFrame>
      </mc:Choice>
      <mc:Fallback xmlns="">
        <xdr:sp macro="" textlink="">
          <xdr:nvSpPr>
            <xdr:cNvPr id="0" name=""/>
            <xdr:cNvSpPr>
              <a:spLocks noTextEdit="1"/>
            </xdr:cNvSpPr>
          </xdr:nvSpPr>
          <xdr:spPr>
            <a:xfrm>
              <a:off x="13068300" y="0"/>
              <a:ext cx="1609725"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1171576</xdr:colOff>
      <xdr:row>0</xdr:row>
      <xdr:rowOff>0</xdr:rowOff>
    </xdr:from>
    <xdr:to>
      <xdr:col>27</xdr:col>
      <xdr:colOff>314325</xdr:colOff>
      <xdr:row>12</xdr:row>
      <xdr:rowOff>0</xdr:rowOff>
    </xdr:to>
    <mc:AlternateContent xmlns:mc="http://schemas.openxmlformats.org/markup-compatibility/2006" xmlns:a14="http://schemas.microsoft.com/office/drawing/2010/main">
      <mc:Choice Requires="a14">
        <xdr:graphicFrame macro="">
          <xdr:nvGraphicFramePr>
            <xdr:cNvPr id="19" name="Body Site"/>
            <xdr:cNvGraphicFramePr/>
          </xdr:nvGraphicFramePr>
          <xdr:xfrm>
            <a:off x="0" y="0"/>
            <a:ext cx="0" cy="0"/>
          </xdr:xfrm>
          <a:graphic>
            <a:graphicData uri="http://schemas.microsoft.com/office/drawing/2010/slicer">
              <sle:slicer xmlns:sle="http://schemas.microsoft.com/office/drawing/2010/slicer" name="Body Site"/>
            </a:graphicData>
          </a:graphic>
        </xdr:graphicFrame>
      </mc:Choice>
      <mc:Fallback xmlns="">
        <xdr:sp macro="" textlink="">
          <xdr:nvSpPr>
            <xdr:cNvPr id="0" name=""/>
            <xdr:cNvSpPr>
              <a:spLocks noTextEdit="1"/>
            </xdr:cNvSpPr>
          </xdr:nvSpPr>
          <xdr:spPr>
            <a:xfrm>
              <a:off x="14658976" y="0"/>
              <a:ext cx="1228724"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28</xdr:col>
      <xdr:colOff>0</xdr:colOff>
      <xdr:row>0</xdr:row>
      <xdr:rowOff>0</xdr:rowOff>
    </xdr:from>
    <xdr:to>
      <xdr:col>28</xdr:col>
      <xdr:colOff>1209675</xdr:colOff>
      <xdr:row>12</xdr:row>
      <xdr:rowOff>0</xdr:rowOff>
    </xdr:to>
    <mc:AlternateContent xmlns:mc="http://schemas.openxmlformats.org/markup-compatibility/2006" xmlns:a14="http://schemas.microsoft.com/office/drawing/2010/main">
      <mc:Choice Requires="a14">
        <xdr:graphicFrame macro="">
          <xdr:nvGraphicFramePr>
            <xdr:cNvPr id="20" name="Machine 1"/>
            <xdr:cNvGraphicFramePr/>
          </xdr:nvGraphicFramePr>
          <xdr:xfrm>
            <a:off x="0" y="0"/>
            <a:ext cx="0" cy="0"/>
          </xdr:xfrm>
          <a:graphic>
            <a:graphicData uri="http://schemas.microsoft.com/office/drawing/2010/slicer">
              <sle:slicer xmlns:sle="http://schemas.microsoft.com/office/drawing/2010/slicer" name="Machine 1"/>
            </a:graphicData>
          </a:graphic>
        </xdr:graphicFrame>
      </mc:Choice>
      <mc:Fallback xmlns="">
        <xdr:sp macro="" textlink="">
          <xdr:nvSpPr>
            <xdr:cNvPr id="0" name=""/>
            <xdr:cNvSpPr>
              <a:spLocks noTextEdit="1"/>
            </xdr:cNvSpPr>
          </xdr:nvSpPr>
          <xdr:spPr>
            <a:xfrm>
              <a:off x="17373600" y="0"/>
              <a:ext cx="1209675"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28</xdr:col>
      <xdr:colOff>1200150</xdr:colOff>
      <xdr:row>0</xdr:row>
      <xdr:rowOff>0</xdr:rowOff>
    </xdr:from>
    <xdr:to>
      <xdr:col>29</xdr:col>
      <xdr:colOff>1228725</xdr:colOff>
      <xdr:row>12</xdr:row>
      <xdr:rowOff>0</xdr:rowOff>
    </xdr:to>
    <mc:AlternateContent xmlns:mc="http://schemas.openxmlformats.org/markup-compatibility/2006" xmlns:a14="http://schemas.microsoft.com/office/drawing/2010/main">
      <mc:Choice Requires="a14">
        <xdr:graphicFrame macro="">
          <xdr:nvGraphicFramePr>
            <xdr:cNvPr id="21" name="TreatmentMachineName / Radiation Device 1"/>
            <xdr:cNvGraphicFramePr/>
          </xdr:nvGraphicFramePr>
          <xdr:xfrm>
            <a:off x="0" y="0"/>
            <a:ext cx="0" cy="0"/>
          </xdr:xfrm>
          <a:graphic>
            <a:graphicData uri="http://schemas.microsoft.com/office/drawing/2010/slicer">
              <sle:slicer xmlns:sle="http://schemas.microsoft.com/office/drawing/2010/slicer" name="TreatmentMachineName / Radiation Device 1"/>
            </a:graphicData>
          </a:graphic>
        </xdr:graphicFrame>
      </mc:Choice>
      <mc:Fallback xmlns="">
        <xdr:sp macro="" textlink="">
          <xdr:nvSpPr>
            <xdr:cNvPr id="0" name=""/>
            <xdr:cNvSpPr>
              <a:spLocks noTextEdit="1"/>
            </xdr:cNvSpPr>
          </xdr:nvSpPr>
          <xdr:spPr>
            <a:xfrm>
              <a:off x="18573750" y="0"/>
              <a:ext cx="1828800"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Kaley E. White" refreshedDate="44719.447995138886" backgroundQuery="1" createdVersion="6" refreshedVersion="6" minRefreshableVersion="3" recordCount="0" supportSubquery="1" supportAdvancedDrill="1">
  <cacheSource type="external" connectionId="3"/>
  <cacheFields count="3">
    <cacheField name="[Measures].[Average of Beam 1: E1 ELEKTA - E2 E2]" caption="Average of Beam 1: E1 ELEKTA - E2 E2" numFmtId="0" hierarchy="64" level="32767"/>
    <cacheField name="[Measures].[Average of Beam 2: E1 ELEKTA - E2 E2]" caption="Average of Beam 2: E1 ELEKTA - E2 E2" numFmtId="0" hierarchy="63" level="32767"/>
    <cacheField name="[Measures].[Average of Plan: E1 ELEKTA - E2 E2]" caption="Average of Plan: E1 ELEKTA - E2 E2" numFmtId="0" hierarchy="62" level="32767"/>
  </cacheFields>
  <cacheHierarchies count="65">
    <cacheHierarchy uniqueName="[D4_Abs_Cal_Comp].[Date]" caption="Date" attribute="1" time="1" defaultMemberUniqueName="[D4_Abs_Cal_Comp].[Date].[All]" allUniqueName="[D4_Abs_Cal_Comp].[Date].[All]" dimensionUniqueName="[D4_Abs_Cal_Comp]" displayFolder="" count="0" memberValueDatatype="7" unbalanced="0"/>
    <cacheHierarchy uniqueName="[D4_Abs_Cal_Comp].[Pt]" caption="Pt" attribute="1" defaultMemberUniqueName="[D4_Abs_Cal_Comp].[Pt].[All]" allUniqueName="[D4_Abs_Cal_Comp].[Pt].[All]" dimensionUniqueName="[D4_Abs_Cal_Comp]" displayFolder="" count="0" memberValueDatatype="130" unbalanced="0"/>
    <cacheHierarchy uniqueName="[D4_Abs_Cal_Comp].[Case]" caption="Case" attribute="1" defaultMemberUniqueName="[D4_Abs_Cal_Comp].[Case].[All]" allUniqueName="[D4_Abs_Cal_Comp].[Case].[All]" dimensionUniqueName="[D4_Abs_Cal_Comp]" displayFolder="" count="0" memberValueDatatype="130" unbalanced="0"/>
    <cacheHierarchy uniqueName="[D4_Abs_Cal_Comp].[Plan]" caption="Plan" attribute="1" defaultMemberUniqueName="[D4_Abs_Cal_Comp].[Plan].[All]" allUniqueName="[D4_Abs_Cal_Comp].[Plan].[All]" dimensionUniqueName="[D4_Abs_Cal_Comp]" displayFolder="" count="0" memberValueDatatype="130" unbalanced="0"/>
    <cacheHierarchy uniqueName="[D4_Abs_Cal_Comp].[Body Site]" caption="Body Site" attribute="1" defaultMemberUniqueName="[D4_Abs_Cal_Comp].[Body Site].[All]" allUniqueName="[D4_Abs_Cal_Comp].[Body Site].[All]" dimensionUniqueName="[D4_Abs_Cal_Comp]" displayFolder="" count="0" memberValueDatatype="130" unbalanced="0"/>
    <cacheHierarchy uniqueName="[D4_Abs_Cal_Comp].[Tx Technique]" caption="Tx Technique" attribute="1" defaultMemberUniqueName="[D4_Abs_Cal_Comp].[Tx Technique].[All]" allUniqueName="[D4_Abs_Cal_Comp].[Tx Technique].[All]" dimensionUniqueName="[D4_Abs_Cal_Comp]" displayFolder="" count="0" memberValueDatatype="130" unbalanced="0"/>
    <cacheHierarchy uniqueName="[D4_Abs_Cal_Comp].[E1 ELEKTA Beam 1 GPR]" caption="E1 ELEKTA Beam 1 GPR" attribute="1" defaultMemberUniqueName="[D4_Abs_Cal_Comp].[E1 ELEKTA Beam 1 GPR].[All]" allUniqueName="[D4_Abs_Cal_Comp].[E1 ELEKTA Beam 1 GPR].[All]" dimensionUniqueName="[D4_Abs_Cal_Comp]" displayFolder="" count="0" memberValueDatatype="5" unbalanced="0"/>
    <cacheHierarchy uniqueName="[D4_Abs_Cal_Comp].[E1 ELEKTA Beam 2 GPR]" caption="E1 ELEKTA Beam 2 GPR" attribute="1" defaultMemberUniqueName="[D4_Abs_Cal_Comp].[E1 ELEKTA Beam 2 GPR].[All]" allUniqueName="[D4_Abs_Cal_Comp].[E1 ELEKTA Beam 2 GPR].[All]" dimensionUniqueName="[D4_Abs_Cal_Comp]" displayFolder="" count="0" memberValueDatatype="5" unbalanced="0"/>
    <cacheHierarchy uniqueName="[D4_Abs_Cal_Comp].[E1 ELEKTA Plan GPR]" caption="E1 ELEKTA Plan GPR" attribute="1" defaultMemberUniqueName="[D4_Abs_Cal_Comp].[E1 ELEKTA Plan GPR].[All]" allUniqueName="[D4_Abs_Cal_Comp].[E1 ELEKTA Plan GPR].[All]" dimensionUniqueName="[D4_Abs_Cal_Comp]" displayFolder="" count="0" memberValueDatatype="5" unbalanced="0"/>
    <cacheHierarchy uniqueName="[D4_Abs_Cal_Comp].[E2 ELEKTA Beam 1 GPR]" caption="E2 ELEKTA Beam 1 GPR" attribute="1" defaultMemberUniqueName="[D4_Abs_Cal_Comp].[E2 ELEKTA Beam 1 GPR].[All]" allUniqueName="[D4_Abs_Cal_Comp].[E2 ELEKTA Beam 1 GPR].[All]" dimensionUniqueName="[D4_Abs_Cal_Comp]" displayFolder="" count="0" memberValueDatatype="5" unbalanced="0"/>
    <cacheHierarchy uniqueName="[D4_Abs_Cal_Comp].[E2 ELEKTA Beam 2 GPR]" caption="E2 ELEKTA Beam 2 GPR" attribute="1" defaultMemberUniqueName="[D4_Abs_Cal_Comp].[E2 ELEKTA Beam 2 GPR].[All]" allUniqueName="[D4_Abs_Cal_Comp].[E2 ELEKTA Beam 2 GPR].[All]" dimensionUniqueName="[D4_Abs_Cal_Comp]" displayFolder="" count="0" memberValueDatatype="5" unbalanced="0"/>
    <cacheHierarchy uniqueName="[D4_Abs_Cal_Comp].[E2 ELEKTA Plan GPR]" caption="E2 ELEKTA Plan GPR" attribute="1" defaultMemberUniqueName="[D4_Abs_Cal_Comp].[E2 ELEKTA Plan GPR].[All]" allUniqueName="[D4_Abs_Cal_Comp].[E2 ELEKTA Plan GPR].[All]" dimensionUniqueName="[D4_Abs_Cal_Comp]" displayFolder="" count="0" memberValueDatatype="5" unbalanced="0"/>
    <cacheHierarchy uniqueName="[D4_Abs_Cal_Comp].[E2 E2 Beam 1 GPR]" caption="E2 E2 Beam 1 GPR" attribute="1" defaultMemberUniqueName="[D4_Abs_Cal_Comp].[E2 E2 Beam 1 GPR].[All]" allUniqueName="[D4_Abs_Cal_Comp].[E2 E2 Beam 1 GPR].[All]" dimensionUniqueName="[D4_Abs_Cal_Comp]" displayFolder="" count="0" memberValueDatatype="5" unbalanced="0"/>
    <cacheHierarchy uniqueName="[D4_Abs_Cal_Comp].[E2 E2 Beam 2 GPR]" caption="E2 E2 Beam 2 GPR" attribute="1" defaultMemberUniqueName="[D4_Abs_Cal_Comp].[E2 E2 Beam 2 GPR].[All]" allUniqueName="[D4_Abs_Cal_Comp].[E2 E2 Beam 2 GPR].[All]" dimensionUniqueName="[D4_Abs_Cal_Comp]" displayFolder="" count="0" memberValueDatatype="5" unbalanced="0"/>
    <cacheHierarchy uniqueName="[D4_Abs_Cal_Comp].[E2 E2 Plan GPR]" caption="E2 E2 Plan GPR" attribute="1" defaultMemberUniqueName="[D4_Abs_Cal_Comp].[E2 E2 Plan GPR].[All]" allUniqueName="[D4_Abs_Cal_Comp].[E2 E2 Plan GPR].[All]" dimensionUniqueName="[D4_Abs_Cal_Comp]" displayFolder="" count="0" memberValueDatatype="5" unbalanced="0"/>
    <cacheHierarchy uniqueName="[D4_Abs_Cal_Comp].[Beam 1: E2 E2 - E2 ELEKTA]" caption="Beam 1: E2 E2 - E2 ELEKTA" attribute="1" defaultMemberUniqueName="[D4_Abs_Cal_Comp].[Beam 1: E2 E2 - E2 ELEKTA].[All]" allUniqueName="[D4_Abs_Cal_Comp].[Beam 1: E2 E2 - E2 ELEKTA].[All]" dimensionUniqueName="[D4_Abs_Cal_Comp]" displayFolder="" count="0" memberValueDatatype="5" unbalanced="0"/>
    <cacheHierarchy uniqueName="[D4_Abs_Cal_Comp].[E1 E2 Beam 1 GPR]" caption="E1 E2 Beam 1 GPR" attribute="1" defaultMemberUniqueName="[D4_Abs_Cal_Comp].[E1 E2 Beam 1 GPR].[All]" allUniqueName="[D4_Abs_Cal_Comp].[E1 E2 Beam 1 GPR].[All]" dimensionUniqueName="[D4_Abs_Cal_Comp]" displayFolder="" count="0" memberValueDatatype="5" unbalanced="0"/>
    <cacheHierarchy uniqueName="[D4_Abs_Cal_Comp].[E1 E2 Beam 2 GPR]" caption="E1 E2 Beam 2 GPR" attribute="1" defaultMemberUniqueName="[D4_Abs_Cal_Comp].[E1 E2 Beam 2 GPR].[All]" allUniqueName="[D4_Abs_Cal_Comp].[E1 E2 Beam 2 GPR].[All]" dimensionUniqueName="[D4_Abs_Cal_Comp]" displayFolder="" count="0" memberValueDatatype="5" unbalanced="0"/>
    <cacheHierarchy uniqueName="[D4_Abs_Cal_Comp].[E1 E2 Plan GPR]" caption="E1 E2 Plan GPR" attribute="1" defaultMemberUniqueName="[D4_Abs_Cal_Comp].[E1 E2 Plan GPR].[All]" allUniqueName="[D4_Abs_Cal_Comp].[E1 E2 Plan GPR].[All]" dimensionUniqueName="[D4_Abs_Cal_Comp]" displayFolder="" count="0" memberValueDatatype="5" unbalanced="0"/>
    <cacheHierarchy uniqueName="[D4_Abs_Cal_Comp].[Beam 2: E2 E2 - E2 ELEKTA]" caption="Beam 2: E2 E2 - E2 ELEKTA" attribute="1" defaultMemberUniqueName="[D4_Abs_Cal_Comp].[Beam 2: E2 E2 - E2 ELEKTA].[All]" allUniqueName="[D4_Abs_Cal_Comp].[Beam 2: E2 E2 - E2 ELEKTA].[All]" dimensionUniqueName="[D4_Abs_Cal_Comp]" displayFolder="" count="0" memberValueDatatype="5" unbalanced="0"/>
    <cacheHierarchy uniqueName="[D4_Abs_Cal_Comp].[Plan: E2 E2 - E2 ELEKTA]" caption="Plan: E2 E2 - E2 ELEKTA" attribute="1" defaultMemberUniqueName="[D4_Abs_Cal_Comp].[Plan: E2 E2 - E2 ELEKTA].[All]" allUniqueName="[D4_Abs_Cal_Comp].[Plan: E2 E2 - E2 ELEKTA].[All]" dimensionUniqueName="[D4_Abs_Cal_Comp]" displayFolder="" count="0" memberValueDatatype="5" unbalanced="0"/>
    <cacheHierarchy uniqueName="[D4_Abs_Cal_Comp].[Beam 1: E1 ELEKTA - E2 E2]" caption="Beam 1: E1 ELEKTA - E2 E2" attribute="1" defaultMemberUniqueName="[D4_Abs_Cal_Comp].[Beam 1: E1 ELEKTA - E2 E2].[All]" allUniqueName="[D4_Abs_Cal_Comp].[Beam 1: E1 ELEKTA - E2 E2].[All]" dimensionUniqueName="[D4_Abs_Cal_Comp]" displayFolder="" count="0" memberValueDatatype="5" unbalanced="0"/>
    <cacheHierarchy uniqueName="[D4_Abs_Cal_Comp].[Beam 2: E1 ELEKTA - E2 E2]" caption="Beam 2: E1 ELEKTA - E2 E2" attribute="1" defaultMemberUniqueName="[D4_Abs_Cal_Comp].[Beam 2: E1 ELEKTA - E2 E2].[All]" allUniqueName="[D4_Abs_Cal_Comp].[Beam 2: E1 ELEKTA - E2 E2].[All]" dimensionUniqueName="[D4_Abs_Cal_Comp]" displayFolder="" count="0" memberValueDatatype="5" unbalanced="0"/>
    <cacheHierarchy uniqueName="[D4_Abs_Cal_Comp].[Plan: E1 ELEKTA - E2 E2]" caption="Plan: E1 ELEKTA - E2 E2" attribute="1" defaultMemberUniqueName="[D4_Abs_Cal_Comp].[Plan: E1 ELEKTA - E2 E2].[All]" allUniqueName="[D4_Abs_Cal_Comp].[Plan: E1 ELEKTA - E2 E2].[All]" dimensionUniqueName="[D4_Abs_Cal_Comp]" displayFolder="" count="0" memberValueDatatype="5" unbalanced="0"/>
    <cacheHierarchy uniqueName="[D4_Abs_Cal_Comp].[Before/After Energy Adjustment]" caption="Before/After Energy Adjustment" attribute="1" defaultMemberUniqueName="[D4_Abs_Cal_Comp].[Before/After Energy Adjustment].[All]" allUniqueName="[D4_Abs_Cal_Comp].[Before/After Energy Adjustment].[All]" dimensionUniqueName="[D4_Abs_Cal_Comp]" displayFolder="" count="0" memberValueDatatype="130" unbalanced="0"/>
    <cacheHierarchy uniqueName="[Mach_Rad_Dev_Comp].[Date]" caption="Date" attribute="1" time="1" defaultMemberUniqueName="[Mach_Rad_Dev_Comp].[Date].[All]" allUniqueName="[Mach_Rad_Dev_Comp].[Date].[All]" dimensionUniqueName="[Mach_Rad_Dev_Comp]" displayFolder="" count="0" memberValueDatatype="7" unbalanced="0"/>
    <cacheHierarchy uniqueName="[Mach_Rad_Dev_Comp].[Pt]" caption="Pt" attribute="1" defaultMemberUniqueName="[Mach_Rad_Dev_Comp].[Pt].[All]" allUniqueName="[Mach_Rad_Dev_Comp].[Pt].[All]" dimensionUniqueName="[Mach_Rad_Dev_Comp]" displayFolder="" count="0" memberValueDatatype="130" unbalanced="0"/>
    <cacheHierarchy uniqueName="[Mach_Rad_Dev_Comp].[Case]" caption="Case" attribute="1" defaultMemberUniqueName="[Mach_Rad_Dev_Comp].[Case].[All]" allUniqueName="[Mach_Rad_Dev_Comp].[Case].[All]" dimensionUniqueName="[Mach_Rad_Dev_Comp]" displayFolder="" count="0" memberValueDatatype="130" unbalanced="0"/>
    <cacheHierarchy uniqueName="[Mach_Rad_Dev_Comp].[Plan]" caption="Plan" attribute="1" defaultMemberUniqueName="[Mach_Rad_Dev_Comp].[Plan].[All]" allUniqueName="[Mach_Rad_Dev_Comp].[Plan].[All]" dimensionUniqueName="[Mach_Rad_Dev_Comp]" displayFolder="" count="0" memberValueDatatype="130" unbalanced="0"/>
    <cacheHierarchy uniqueName="[Mach_Rad_Dev_Comp].[Body Site]" caption="Body Site" attribute="1" defaultMemberUniqueName="[Mach_Rad_Dev_Comp].[Body Site].[All]" allUniqueName="[Mach_Rad_Dev_Comp].[Body Site].[All]" dimensionUniqueName="[Mach_Rad_Dev_Comp]" displayFolder="" count="0" memberValueDatatype="130" unbalanced="0"/>
    <cacheHierarchy uniqueName="[Mach_Rad_Dev_Comp].[Tx Technique]" caption="Tx Technique" attribute="1" defaultMemberUniqueName="[Mach_Rad_Dev_Comp].[Tx Technique].[All]" allUniqueName="[Mach_Rad_Dev_Comp].[Tx Technique].[All]" dimensionUniqueName="[Mach_Rad_Dev_Comp]" displayFolder="" count="0" memberValueDatatype="130" unbalanced="0"/>
    <cacheHierarchy uniqueName="[Mach_Rad_Dev_Comp].[E1 ELEKTA Beam 1 GPR]" caption="E1 ELEKTA Beam 1 GPR" attribute="1" defaultMemberUniqueName="[Mach_Rad_Dev_Comp].[E1 ELEKTA Beam 1 GPR].[All]" allUniqueName="[Mach_Rad_Dev_Comp].[E1 ELEKTA Beam 1 GPR].[All]" dimensionUniqueName="[Mach_Rad_Dev_Comp]" displayFolder="" count="0" memberValueDatatype="5" unbalanced="0"/>
    <cacheHierarchy uniqueName="[Mach_Rad_Dev_Comp].[E1 ELEKTA Beam 2 GPR]" caption="E1 ELEKTA Beam 2 GPR" attribute="1" defaultMemberUniqueName="[Mach_Rad_Dev_Comp].[E1 ELEKTA Beam 2 GPR].[All]" allUniqueName="[Mach_Rad_Dev_Comp].[E1 ELEKTA Beam 2 GPR].[All]" dimensionUniqueName="[Mach_Rad_Dev_Comp]" displayFolder="" count="0" memberValueDatatype="5" unbalanced="0"/>
    <cacheHierarchy uniqueName="[Mach_Rad_Dev_Comp].[E1 ELEKTA Plan GPR]" caption="E1 ELEKTA Plan GPR" attribute="1" defaultMemberUniqueName="[Mach_Rad_Dev_Comp].[E1 ELEKTA Plan GPR].[All]" allUniqueName="[Mach_Rad_Dev_Comp].[E1 ELEKTA Plan GPR].[All]" dimensionUniqueName="[Mach_Rad_Dev_Comp]" displayFolder="" count="0" memberValueDatatype="5" unbalanced="0"/>
    <cacheHierarchy uniqueName="[Mach_Rad_Dev_Comp].[E2 ELEKTA Beam 1 GPR]" caption="E2 ELEKTA Beam 1 GPR" attribute="1" defaultMemberUniqueName="[Mach_Rad_Dev_Comp].[E2 ELEKTA Beam 1 GPR].[All]" allUniqueName="[Mach_Rad_Dev_Comp].[E2 ELEKTA Beam 1 GPR].[All]" dimensionUniqueName="[Mach_Rad_Dev_Comp]" displayFolder="" count="0" memberValueDatatype="5" unbalanced="0"/>
    <cacheHierarchy uniqueName="[Mach_Rad_Dev_Comp].[E2 ELEKTA Beam 2 GPR]" caption="E2 ELEKTA Beam 2 GPR" attribute="1" defaultMemberUniqueName="[Mach_Rad_Dev_Comp].[E2 ELEKTA Beam 2 GPR].[All]" allUniqueName="[Mach_Rad_Dev_Comp].[E2 ELEKTA Beam 2 GPR].[All]" dimensionUniqueName="[Mach_Rad_Dev_Comp]" displayFolder="" count="0" memberValueDatatype="5" unbalanced="0"/>
    <cacheHierarchy uniqueName="[Mach_Rad_Dev_Comp].[E2 ELEKTA Plan GPR]" caption="E2 ELEKTA Plan GPR" attribute="1" defaultMemberUniqueName="[Mach_Rad_Dev_Comp].[E2 ELEKTA Plan GPR].[All]" allUniqueName="[Mach_Rad_Dev_Comp].[E2 ELEKTA Plan GPR].[All]" dimensionUniqueName="[Mach_Rad_Dev_Comp]" displayFolder="" count="0" memberValueDatatype="5" unbalanced="0"/>
    <cacheHierarchy uniqueName="[Mach_Rad_Dev_Comp].[E2 E2 Beam 1 GPR]" caption="E2 E2 Beam 1 GPR" attribute="1" defaultMemberUniqueName="[Mach_Rad_Dev_Comp].[E2 E2 Beam 1 GPR].[All]" allUniqueName="[Mach_Rad_Dev_Comp].[E2 E2 Beam 1 GPR].[All]" dimensionUniqueName="[Mach_Rad_Dev_Comp]" displayFolder="" count="0" memberValueDatatype="5" unbalanced="0"/>
    <cacheHierarchy uniqueName="[Mach_Rad_Dev_Comp].[E2 E2 Beam 2 GPR]" caption="E2 E2 Beam 2 GPR" attribute="1" defaultMemberUniqueName="[Mach_Rad_Dev_Comp].[E2 E2 Beam 2 GPR].[All]" allUniqueName="[Mach_Rad_Dev_Comp].[E2 E2 Beam 2 GPR].[All]" dimensionUniqueName="[Mach_Rad_Dev_Comp]" displayFolder="" count="0" memberValueDatatype="5" unbalanced="0"/>
    <cacheHierarchy uniqueName="[Mach_Rad_Dev_Comp].[E2 E2 Plan GPR]" caption="E2 E2 Plan GPR" attribute="1" defaultMemberUniqueName="[Mach_Rad_Dev_Comp].[E2 E2 Plan GPR].[All]" allUniqueName="[Mach_Rad_Dev_Comp].[E2 E2 Plan GPR].[All]" dimensionUniqueName="[Mach_Rad_Dev_Comp]" displayFolder="" count="0" memberValueDatatype="5" unbalanced="0"/>
    <cacheHierarchy uniqueName="[Mach_Rad_Dev_Comp].[Beam 1: E2 E2 - E2 ELEKTA]" caption="Beam 1: E2 E2 - E2 ELEKTA" attribute="1" defaultMemberUniqueName="[Mach_Rad_Dev_Comp].[Beam 1: E2 E2 - E2 ELEKTA].[All]" allUniqueName="[Mach_Rad_Dev_Comp].[Beam 1: E2 E2 - E2 ELEKTA].[All]" dimensionUniqueName="[Mach_Rad_Dev_Comp]" displayFolder="" count="0" memberValueDatatype="5" unbalanced="0"/>
    <cacheHierarchy uniqueName="[Mach_Rad_Dev_Comp].[E1 E2 Beam 1 GPR]" caption="E1 E2 Beam 1 GPR" attribute="1" defaultMemberUniqueName="[Mach_Rad_Dev_Comp].[E1 E2 Beam 1 GPR].[All]" allUniqueName="[Mach_Rad_Dev_Comp].[E1 E2 Beam 1 GPR].[All]" dimensionUniqueName="[Mach_Rad_Dev_Comp]" displayFolder="" count="0" memberValueDatatype="5" unbalanced="0"/>
    <cacheHierarchy uniqueName="[Mach_Rad_Dev_Comp].[E1 E2 Beam 2 GPR]" caption="E1 E2 Beam 2 GPR" attribute="1" defaultMemberUniqueName="[Mach_Rad_Dev_Comp].[E1 E2 Beam 2 GPR].[All]" allUniqueName="[Mach_Rad_Dev_Comp].[E1 E2 Beam 2 GPR].[All]" dimensionUniqueName="[Mach_Rad_Dev_Comp]" displayFolder="" count="0" memberValueDatatype="5" unbalanced="0"/>
    <cacheHierarchy uniqueName="[Mach_Rad_Dev_Comp].[E1 E2 Plan GPR]" caption="E1 E2 Plan GPR" attribute="1" defaultMemberUniqueName="[Mach_Rad_Dev_Comp].[E1 E2 Plan GPR].[All]" allUniqueName="[Mach_Rad_Dev_Comp].[E1 E2 Plan GPR].[All]" dimensionUniqueName="[Mach_Rad_Dev_Comp]" displayFolder="" count="0" memberValueDatatype="5" unbalanced="0"/>
    <cacheHierarchy uniqueName="[Mach_Rad_Dev_Comp].[Beam 2: E2 E2 - E2 ELEKTA]" caption="Beam 2: E2 E2 - E2 ELEKTA" attribute="1" defaultMemberUniqueName="[Mach_Rad_Dev_Comp].[Beam 2: E2 E2 - E2 ELEKTA].[All]" allUniqueName="[Mach_Rad_Dev_Comp].[Beam 2: E2 E2 - E2 ELEKTA].[All]" dimensionUniqueName="[Mach_Rad_Dev_Comp]" displayFolder="" count="0" memberValueDatatype="5" unbalanced="0"/>
    <cacheHierarchy uniqueName="[Mach_Rad_Dev_Comp].[Plan: E2 E2 - E2 ELEKTA]" caption="Plan: E2 E2 - E2 ELEKTA" attribute="1" defaultMemberUniqueName="[Mach_Rad_Dev_Comp].[Plan: E2 E2 - E2 ELEKTA].[All]" allUniqueName="[Mach_Rad_Dev_Comp].[Plan: E2 E2 - E2 ELEKTA].[All]" dimensionUniqueName="[Mach_Rad_Dev_Comp]" displayFolder="" count="0" memberValueDatatype="5" unbalanced="0"/>
    <cacheHierarchy uniqueName="[Mach_Rad_Dev_Comp].[Beam 1: E1 ELEKTA - E2 E2]" caption="Beam 1: E1 ELEKTA - E2 E2" attribute="1" defaultMemberUniqueName="[Mach_Rad_Dev_Comp].[Beam 1: E1 ELEKTA - E2 E2].[All]" allUniqueName="[Mach_Rad_Dev_Comp].[Beam 1: E1 ELEKTA - E2 E2].[All]" dimensionUniqueName="[Mach_Rad_Dev_Comp]" displayFolder="" count="0" memberValueDatatype="5" unbalanced="0"/>
    <cacheHierarchy uniqueName="[Mach_Rad_Dev_Comp].[Beam 2: E1 ELEKTA - E2 E2]" caption="Beam 2: E1 ELEKTA - E2 E2" attribute="1" defaultMemberUniqueName="[Mach_Rad_Dev_Comp].[Beam 2: E1 ELEKTA - E2 E2].[All]" allUniqueName="[Mach_Rad_Dev_Comp].[Beam 2: E1 ELEKTA - E2 E2].[All]" dimensionUniqueName="[Mach_Rad_Dev_Comp]" displayFolder="" count="0" memberValueDatatype="5" unbalanced="0"/>
    <cacheHierarchy uniqueName="[Mach_Rad_Dev_Comp].[Plan: E1 ELEKTA - E2 E2]" caption="Plan: E1 ELEKTA - E2 E2" attribute="1" defaultMemberUniqueName="[Mach_Rad_Dev_Comp].[Plan: E1 ELEKTA - E2 E2].[All]" allUniqueName="[Mach_Rad_Dev_Comp].[Plan: E1 ELEKTA - E2 E2].[All]" dimensionUniqueName="[Mach_Rad_Dev_Comp]" displayFolder="" count="0" memberValueDatatype="5" unbalanced="0"/>
    <cacheHierarchy uniqueName="[Mach_Rad_Dev_Comp].[Before/After Energy Adjustment]" caption="Before/After Energy Adjustment" attribute="1" defaultMemberUniqueName="[Mach_Rad_Dev_Comp].[Before/After Energy Adjustment].[All]" allUniqueName="[Mach_Rad_Dev_Comp].[Before/After Energy Adjustment].[All]" dimensionUniqueName="[Mach_Rad_Dev_Comp]" displayFolder="" count="0" memberValueDatatype="130" unbalanced="0"/>
    <cacheHierarchy uniqueName="[Measures].[__XL_Count D4_Abs_Cal_Comp]" caption="__XL_Count D4_Abs_Cal_Comp" measure="1" displayFolder="" measureGroup="D4_Abs_Cal_Comp" count="0" hidden="1"/>
    <cacheHierarchy uniqueName="[Measures].[__XL_Count Mach_Rad_Dev_Comp]" caption="__XL_Count Mach_Rad_Dev_Comp" measure="1" displayFolder="" measureGroup="Mach_Rad_Dev_Comp" count="0" hidden="1"/>
    <cacheHierarchy uniqueName="[Measures].[__No measures defined]" caption="__No measures defined" measure="1" displayFolder="" count="0" hidden="1"/>
    <cacheHierarchy uniqueName="[Measures].[Sum of Beam 1: E2 E2 - E2 ELEKTA]" caption="Sum of Beam 1: E2 E2 - E2 ELEKTA" measure="1" displayFolder="" measureGroup="Mach_Rad_Dev_Comp" count="0" hidden="1">
      <extLst>
        <ext xmlns:x15="http://schemas.microsoft.com/office/spreadsheetml/2010/11/main" uri="{B97F6D7D-B522-45F9-BDA1-12C45D357490}">
          <x15:cacheHierarchy aggregatedColumn="40"/>
        </ext>
      </extLst>
    </cacheHierarchy>
    <cacheHierarchy uniqueName="[Measures].[Average of Beam 1: E2 E2 - E2 ELEKTA]" caption="Average of Beam 1: E2 E2 - E2 ELEKTA" measure="1" displayFolder="" measureGroup="Mach_Rad_Dev_Comp" count="0" hidden="1">
      <extLst>
        <ext xmlns:x15="http://schemas.microsoft.com/office/spreadsheetml/2010/11/main" uri="{B97F6D7D-B522-45F9-BDA1-12C45D357490}">
          <x15:cacheHierarchy aggregatedColumn="40"/>
        </ext>
      </extLst>
    </cacheHierarchy>
    <cacheHierarchy uniqueName="[Measures].[Sum of Beam 2: E2 E2 - E2 ELEKTA]" caption="Sum of Beam 2: E2 E2 - E2 ELEKTA" measure="1" displayFolder="" measureGroup="Mach_Rad_Dev_Comp" count="0" hidden="1">
      <extLst>
        <ext xmlns:x15="http://schemas.microsoft.com/office/spreadsheetml/2010/11/main" uri="{B97F6D7D-B522-45F9-BDA1-12C45D357490}">
          <x15:cacheHierarchy aggregatedColumn="44"/>
        </ext>
      </extLst>
    </cacheHierarchy>
    <cacheHierarchy uniqueName="[Measures].[Sum of Plan: E2 E2 - E2 ELEKTA]" caption="Sum of Plan: E2 E2 - E2 ELEKTA" measure="1" displayFolder="" measureGroup="Mach_Rad_Dev_Comp" count="0" hidden="1">
      <extLst>
        <ext xmlns:x15="http://schemas.microsoft.com/office/spreadsheetml/2010/11/main" uri="{B97F6D7D-B522-45F9-BDA1-12C45D357490}">
          <x15:cacheHierarchy aggregatedColumn="45"/>
        </ext>
      </extLst>
    </cacheHierarchy>
    <cacheHierarchy uniqueName="[Measures].[Average of Beam 2: E2 E2 - E2 ELEKTA]" caption="Average of Beam 2: E2 E2 - E2 ELEKTA" measure="1" displayFolder="" measureGroup="Mach_Rad_Dev_Comp" count="0" hidden="1">
      <extLst>
        <ext xmlns:x15="http://schemas.microsoft.com/office/spreadsheetml/2010/11/main" uri="{B97F6D7D-B522-45F9-BDA1-12C45D357490}">
          <x15:cacheHierarchy aggregatedColumn="44"/>
        </ext>
      </extLst>
    </cacheHierarchy>
    <cacheHierarchy uniqueName="[Measures].[Average of Plan: E2 E2 - E2 ELEKTA]" caption="Average of Plan: E2 E2 - E2 ELEKTA" measure="1" displayFolder="" measureGroup="Mach_Rad_Dev_Comp" count="0" hidden="1">
      <extLst>
        <ext xmlns:x15="http://schemas.microsoft.com/office/spreadsheetml/2010/11/main" uri="{B97F6D7D-B522-45F9-BDA1-12C45D357490}">
          <x15:cacheHierarchy aggregatedColumn="45"/>
        </ext>
      </extLst>
    </cacheHierarchy>
    <cacheHierarchy uniqueName="[Measures].[Sum of Beam 1: E1 ELEKTA - E2 E2]" caption="Sum of Beam 1: E1 ELEKTA - E2 E2" measure="1" displayFolder="" measureGroup="Mach_Rad_Dev_Comp" count="0" hidden="1">
      <extLst>
        <ext xmlns:x15="http://schemas.microsoft.com/office/spreadsheetml/2010/11/main" uri="{B97F6D7D-B522-45F9-BDA1-12C45D357490}">
          <x15:cacheHierarchy aggregatedColumn="46"/>
        </ext>
      </extLst>
    </cacheHierarchy>
    <cacheHierarchy uniqueName="[Measures].[Sum of Beam 2: E1 ELEKTA - E2 E2]" caption="Sum of Beam 2: E1 ELEKTA - E2 E2" measure="1" displayFolder="" measureGroup="Mach_Rad_Dev_Comp" count="0" hidden="1">
      <extLst>
        <ext xmlns:x15="http://schemas.microsoft.com/office/spreadsheetml/2010/11/main" uri="{B97F6D7D-B522-45F9-BDA1-12C45D357490}">
          <x15:cacheHierarchy aggregatedColumn="47"/>
        </ext>
      </extLst>
    </cacheHierarchy>
    <cacheHierarchy uniqueName="[Measures].[Sum of Plan: E1 ELEKTA - E2 E2]" caption="Sum of Plan: E1 ELEKTA - E2 E2" measure="1" displayFolder="" measureGroup="Mach_Rad_Dev_Comp" count="0" hidden="1">
      <extLst>
        <ext xmlns:x15="http://schemas.microsoft.com/office/spreadsheetml/2010/11/main" uri="{B97F6D7D-B522-45F9-BDA1-12C45D357490}">
          <x15:cacheHierarchy aggregatedColumn="48"/>
        </ext>
      </extLst>
    </cacheHierarchy>
    <cacheHierarchy uniqueName="[Measures].[Average of Plan: E1 ELEKTA - E2 E2]" caption="Average of Plan: E1 ELEKTA - E2 E2" measure="1" displayFolder="" measureGroup="Mach_Rad_Dev_Comp" count="0" oneField="1" hidden="1">
      <fieldsUsage count="1">
        <fieldUsage x="2"/>
      </fieldsUsage>
      <extLst>
        <ext xmlns:x15="http://schemas.microsoft.com/office/spreadsheetml/2010/11/main" uri="{B97F6D7D-B522-45F9-BDA1-12C45D357490}">
          <x15:cacheHierarchy aggregatedColumn="48"/>
        </ext>
      </extLst>
    </cacheHierarchy>
    <cacheHierarchy uniqueName="[Measures].[Average of Beam 2: E1 ELEKTA - E2 E2]" caption="Average of Beam 2: E1 ELEKTA - E2 E2" measure="1" displayFolder="" measureGroup="Mach_Rad_Dev_Comp" count="0" oneField="1" hidden="1">
      <fieldsUsage count="1">
        <fieldUsage x="1"/>
      </fieldsUsage>
      <extLst>
        <ext xmlns:x15="http://schemas.microsoft.com/office/spreadsheetml/2010/11/main" uri="{B97F6D7D-B522-45F9-BDA1-12C45D357490}">
          <x15:cacheHierarchy aggregatedColumn="47"/>
        </ext>
      </extLst>
    </cacheHierarchy>
    <cacheHierarchy uniqueName="[Measures].[Average of Beam 1: E1 ELEKTA - E2 E2]" caption="Average of Beam 1: E1 ELEKTA - E2 E2" measure="1" displayFolder="" measureGroup="Mach_Rad_Dev_Comp" count="0" oneField="1" hidden="1">
      <fieldsUsage count="1">
        <fieldUsage x="0"/>
      </fieldsUsage>
      <extLst>
        <ext xmlns:x15="http://schemas.microsoft.com/office/spreadsheetml/2010/11/main" uri="{B97F6D7D-B522-45F9-BDA1-12C45D357490}">
          <x15:cacheHierarchy aggregatedColumn="46"/>
        </ext>
      </extLst>
    </cacheHierarchy>
  </cacheHierarchies>
  <kpis count="0"/>
  <dimensions count="3">
    <dimension name="D4_Abs_Cal_Comp" uniqueName="[D4_Abs_Cal_Comp]" caption="D4_Abs_Cal_Comp"/>
    <dimension name="Mach_Rad_Dev_Comp" uniqueName="[Mach_Rad_Dev_Comp]" caption="Mach_Rad_Dev_Comp"/>
    <dimension measure="1" name="Measures" uniqueName="[Measures]" caption="Measures"/>
  </dimensions>
  <measureGroups count="2">
    <measureGroup name="D4_Abs_Cal_Comp" caption="D4_Abs_Cal_Comp"/>
    <measureGroup name="Mach_Rad_Dev_Comp" caption="Mach_Rad_Dev_Comp"/>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Kaley E. White" refreshedDate="44719.447995949071" backgroundQuery="1" createdVersion="6" refreshedVersion="6" minRefreshableVersion="3" recordCount="0" supportSubquery="1" supportAdvancedDrill="1">
  <cacheSource type="external" connectionId="3"/>
  <cacheFields count="3">
    <cacheField name="[Measures].[Average of Beam 1: E2 E2 - E2 ELEKTA]" caption="Average of Beam 1: E2 E2 - E2 ELEKTA" numFmtId="0" hierarchy="54" level="32767"/>
    <cacheField name="[Measures].[Average of Beam 2: E2 E2 - E2 ELEKTA]" caption="Average of Beam 2: E2 E2 - E2 ELEKTA" numFmtId="0" hierarchy="57" level="32767"/>
    <cacheField name="[Measures].[Average of Plan: E2 E2 - E2 ELEKTA]" caption="Average of Plan: E2 E2 - E2 ELEKTA" numFmtId="0" hierarchy="58" level="32767"/>
  </cacheFields>
  <cacheHierarchies count="65">
    <cacheHierarchy uniqueName="[D4_Abs_Cal_Comp].[Date]" caption="Date" attribute="1" time="1" defaultMemberUniqueName="[D4_Abs_Cal_Comp].[Date].[All]" allUniqueName="[D4_Abs_Cal_Comp].[Date].[All]" dimensionUniqueName="[D4_Abs_Cal_Comp]" displayFolder="" count="0" memberValueDatatype="7" unbalanced="0"/>
    <cacheHierarchy uniqueName="[D4_Abs_Cal_Comp].[Pt]" caption="Pt" attribute="1" defaultMemberUniqueName="[D4_Abs_Cal_Comp].[Pt].[All]" allUniqueName="[D4_Abs_Cal_Comp].[Pt].[All]" dimensionUniqueName="[D4_Abs_Cal_Comp]" displayFolder="" count="0" memberValueDatatype="130" unbalanced="0"/>
    <cacheHierarchy uniqueName="[D4_Abs_Cal_Comp].[Case]" caption="Case" attribute="1" defaultMemberUniqueName="[D4_Abs_Cal_Comp].[Case].[All]" allUniqueName="[D4_Abs_Cal_Comp].[Case].[All]" dimensionUniqueName="[D4_Abs_Cal_Comp]" displayFolder="" count="0" memberValueDatatype="130" unbalanced="0"/>
    <cacheHierarchy uniqueName="[D4_Abs_Cal_Comp].[Plan]" caption="Plan" attribute="1" defaultMemberUniqueName="[D4_Abs_Cal_Comp].[Plan].[All]" allUniqueName="[D4_Abs_Cal_Comp].[Plan].[All]" dimensionUniqueName="[D4_Abs_Cal_Comp]" displayFolder="" count="0" memberValueDatatype="130" unbalanced="0"/>
    <cacheHierarchy uniqueName="[D4_Abs_Cal_Comp].[Body Site]" caption="Body Site" attribute="1" defaultMemberUniqueName="[D4_Abs_Cal_Comp].[Body Site].[All]" allUniqueName="[D4_Abs_Cal_Comp].[Body Site].[All]" dimensionUniqueName="[D4_Abs_Cal_Comp]" displayFolder="" count="0" memberValueDatatype="130" unbalanced="0"/>
    <cacheHierarchy uniqueName="[D4_Abs_Cal_Comp].[Tx Technique]" caption="Tx Technique" attribute="1" defaultMemberUniqueName="[D4_Abs_Cal_Comp].[Tx Technique].[All]" allUniqueName="[D4_Abs_Cal_Comp].[Tx Technique].[All]" dimensionUniqueName="[D4_Abs_Cal_Comp]" displayFolder="" count="0" memberValueDatatype="130" unbalanced="0"/>
    <cacheHierarchy uniqueName="[D4_Abs_Cal_Comp].[E1 ELEKTA Beam 1 GPR]" caption="E1 ELEKTA Beam 1 GPR" attribute="1" defaultMemberUniqueName="[D4_Abs_Cal_Comp].[E1 ELEKTA Beam 1 GPR].[All]" allUniqueName="[D4_Abs_Cal_Comp].[E1 ELEKTA Beam 1 GPR].[All]" dimensionUniqueName="[D4_Abs_Cal_Comp]" displayFolder="" count="0" memberValueDatatype="5" unbalanced="0"/>
    <cacheHierarchy uniqueName="[D4_Abs_Cal_Comp].[E1 ELEKTA Beam 2 GPR]" caption="E1 ELEKTA Beam 2 GPR" attribute="1" defaultMemberUniqueName="[D4_Abs_Cal_Comp].[E1 ELEKTA Beam 2 GPR].[All]" allUniqueName="[D4_Abs_Cal_Comp].[E1 ELEKTA Beam 2 GPR].[All]" dimensionUniqueName="[D4_Abs_Cal_Comp]" displayFolder="" count="0" memberValueDatatype="5" unbalanced="0"/>
    <cacheHierarchy uniqueName="[D4_Abs_Cal_Comp].[E1 ELEKTA Plan GPR]" caption="E1 ELEKTA Plan GPR" attribute="1" defaultMemberUniqueName="[D4_Abs_Cal_Comp].[E1 ELEKTA Plan GPR].[All]" allUniqueName="[D4_Abs_Cal_Comp].[E1 ELEKTA Plan GPR].[All]" dimensionUniqueName="[D4_Abs_Cal_Comp]" displayFolder="" count="0" memberValueDatatype="5" unbalanced="0"/>
    <cacheHierarchy uniqueName="[D4_Abs_Cal_Comp].[E2 ELEKTA Beam 1 GPR]" caption="E2 ELEKTA Beam 1 GPR" attribute="1" defaultMemberUniqueName="[D4_Abs_Cal_Comp].[E2 ELEKTA Beam 1 GPR].[All]" allUniqueName="[D4_Abs_Cal_Comp].[E2 ELEKTA Beam 1 GPR].[All]" dimensionUniqueName="[D4_Abs_Cal_Comp]" displayFolder="" count="0" memberValueDatatype="5" unbalanced="0"/>
    <cacheHierarchy uniqueName="[D4_Abs_Cal_Comp].[E2 ELEKTA Beam 2 GPR]" caption="E2 ELEKTA Beam 2 GPR" attribute="1" defaultMemberUniqueName="[D4_Abs_Cal_Comp].[E2 ELEKTA Beam 2 GPR].[All]" allUniqueName="[D4_Abs_Cal_Comp].[E2 ELEKTA Beam 2 GPR].[All]" dimensionUniqueName="[D4_Abs_Cal_Comp]" displayFolder="" count="0" memberValueDatatype="5" unbalanced="0"/>
    <cacheHierarchy uniqueName="[D4_Abs_Cal_Comp].[E2 ELEKTA Plan GPR]" caption="E2 ELEKTA Plan GPR" attribute="1" defaultMemberUniqueName="[D4_Abs_Cal_Comp].[E2 ELEKTA Plan GPR].[All]" allUniqueName="[D4_Abs_Cal_Comp].[E2 ELEKTA Plan GPR].[All]" dimensionUniqueName="[D4_Abs_Cal_Comp]" displayFolder="" count="0" memberValueDatatype="5" unbalanced="0"/>
    <cacheHierarchy uniqueName="[D4_Abs_Cal_Comp].[E2 E2 Beam 1 GPR]" caption="E2 E2 Beam 1 GPR" attribute="1" defaultMemberUniqueName="[D4_Abs_Cal_Comp].[E2 E2 Beam 1 GPR].[All]" allUniqueName="[D4_Abs_Cal_Comp].[E2 E2 Beam 1 GPR].[All]" dimensionUniqueName="[D4_Abs_Cal_Comp]" displayFolder="" count="0" memberValueDatatype="5" unbalanced="0"/>
    <cacheHierarchy uniqueName="[D4_Abs_Cal_Comp].[E2 E2 Beam 2 GPR]" caption="E2 E2 Beam 2 GPR" attribute="1" defaultMemberUniqueName="[D4_Abs_Cal_Comp].[E2 E2 Beam 2 GPR].[All]" allUniqueName="[D4_Abs_Cal_Comp].[E2 E2 Beam 2 GPR].[All]" dimensionUniqueName="[D4_Abs_Cal_Comp]" displayFolder="" count="0" memberValueDatatype="5" unbalanced="0"/>
    <cacheHierarchy uniqueName="[D4_Abs_Cal_Comp].[E2 E2 Plan GPR]" caption="E2 E2 Plan GPR" attribute="1" defaultMemberUniqueName="[D4_Abs_Cal_Comp].[E2 E2 Plan GPR].[All]" allUniqueName="[D4_Abs_Cal_Comp].[E2 E2 Plan GPR].[All]" dimensionUniqueName="[D4_Abs_Cal_Comp]" displayFolder="" count="0" memberValueDatatype="5" unbalanced="0"/>
    <cacheHierarchy uniqueName="[D4_Abs_Cal_Comp].[Beam 1: E2 E2 - E2 ELEKTA]" caption="Beam 1: E2 E2 - E2 ELEKTA" attribute="1" defaultMemberUniqueName="[D4_Abs_Cal_Comp].[Beam 1: E2 E2 - E2 ELEKTA].[All]" allUniqueName="[D4_Abs_Cal_Comp].[Beam 1: E2 E2 - E2 ELEKTA].[All]" dimensionUniqueName="[D4_Abs_Cal_Comp]" displayFolder="" count="0" memberValueDatatype="5" unbalanced="0"/>
    <cacheHierarchy uniqueName="[D4_Abs_Cal_Comp].[E1 E2 Beam 1 GPR]" caption="E1 E2 Beam 1 GPR" attribute="1" defaultMemberUniqueName="[D4_Abs_Cal_Comp].[E1 E2 Beam 1 GPR].[All]" allUniqueName="[D4_Abs_Cal_Comp].[E1 E2 Beam 1 GPR].[All]" dimensionUniqueName="[D4_Abs_Cal_Comp]" displayFolder="" count="0" memberValueDatatype="5" unbalanced="0"/>
    <cacheHierarchy uniqueName="[D4_Abs_Cal_Comp].[E1 E2 Beam 2 GPR]" caption="E1 E2 Beam 2 GPR" attribute="1" defaultMemberUniqueName="[D4_Abs_Cal_Comp].[E1 E2 Beam 2 GPR].[All]" allUniqueName="[D4_Abs_Cal_Comp].[E1 E2 Beam 2 GPR].[All]" dimensionUniqueName="[D4_Abs_Cal_Comp]" displayFolder="" count="0" memberValueDatatype="5" unbalanced="0"/>
    <cacheHierarchy uniqueName="[D4_Abs_Cal_Comp].[E1 E2 Plan GPR]" caption="E1 E2 Plan GPR" attribute="1" defaultMemberUniqueName="[D4_Abs_Cal_Comp].[E1 E2 Plan GPR].[All]" allUniqueName="[D4_Abs_Cal_Comp].[E1 E2 Plan GPR].[All]" dimensionUniqueName="[D4_Abs_Cal_Comp]" displayFolder="" count="0" memberValueDatatype="5" unbalanced="0"/>
    <cacheHierarchy uniqueName="[D4_Abs_Cal_Comp].[Beam 2: E2 E2 - E2 ELEKTA]" caption="Beam 2: E2 E2 - E2 ELEKTA" attribute="1" defaultMemberUniqueName="[D4_Abs_Cal_Comp].[Beam 2: E2 E2 - E2 ELEKTA].[All]" allUniqueName="[D4_Abs_Cal_Comp].[Beam 2: E2 E2 - E2 ELEKTA].[All]" dimensionUniqueName="[D4_Abs_Cal_Comp]" displayFolder="" count="0" memberValueDatatype="5" unbalanced="0"/>
    <cacheHierarchy uniqueName="[D4_Abs_Cal_Comp].[Plan: E2 E2 - E2 ELEKTA]" caption="Plan: E2 E2 - E2 ELEKTA" attribute="1" defaultMemberUniqueName="[D4_Abs_Cal_Comp].[Plan: E2 E2 - E2 ELEKTA].[All]" allUniqueName="[D4_Abs_Cal_Comp].[Plan: E2 E2 - E2 ELEKTA].[All]" dimensionUniqueName="[D4_Abs_Cal_Comp]" displayFolder="" count="0" memberValueDatatype="5" unbalanced="0"/>
    <cacheHierarchy uniqueName="[D4_Abs_Cal_Comp].[Beam 1: E1 ELEKTA - E2 E2]" caption="Beam 1: E1 ELEKTA - E2 E2" attribute="1" defaultMemberUniqueName="[D4_Abs_Cal_Comp].[Beam 1: E1 ELEKTA - E2 E2].[All]" allUniqueName="[D4_Abs_Cal_Comp].[Beam 1: E1 ELEKTA - E2 E2].[All]" dimensionUniqueName="[D4_Abs_Cal_Comp]" displayFolder="" count="0" memberValueDatatype="5" unbalanced="0"/>
    <cacheHierarchy uniqueName="[D4_Abs_Cal_Comp].[Beam 2: E1 ELEKTA - E2 E2]" caption="Beam 2: E1 ELEKTA - E2 E2" attribute="1" defaultMemberUniqueName="[D4_Abs_Cal_Comp].[Beam 2: E1 ELEKTA - E2 E2].[All]" allUniqueName="[D4_Abs_Cal_Comp].[Beam 2: E1 ELEKTA - E2 E2].[All]" dimensionUniqueName="[D4_Abs_Cal_Comp]" displayFolder="" count="0" memberValueDatatype="5" unbalanced="0"/>
    <cacheHierarchy uniqueName="[D4_Abs_Cal_Comp].[Plan: E1 ELEKTA - E2 E2]" caption="Plan: E1 ELEKTA - E2 E2" attribute="1" defaultMemberUniqueName="[D4_Abs_Cal_Comp].[Plan: E1 ELEKTA - E2 E2].[All]" allUniqueName="[D4_Abs_Cal_Comp].[Plan: E1 ELEKTA - E2 E2].[All]" dimensionUniqueName="[D4_Abs_Cal_Comp]" displayFolder="" count="0" memberValueDatatype="5" unbalanced="0"/>
    <cacheHierarchy uniqueName="[D4_Abs_Cal_Comp].[Before/After Energy Adjustment]" caption="Before/After Energy Adjustment" attribute="1" defaultMemberUniqueName="[D4_Abs_Cal_Comp].[Before/After Energy Adjustment].[All]" allUniqueName="[D4_Abs_Cal_Comp].[Before/After Energy Adjustment].[All]" dimensionUniqueName="[D4_Abs_Cal_Comp]" displayFolder="" count="0" memberValueDatatype="130" unbalanced="0"/>
    <cacheHierarchy uniqueName="[Mach_Rad_Dev_Comp].[Date]" caption="Date" attribute="1" time="1" defaultMemberUniqueName="[Mach_Rad_Dev_Comp].[Date].[All]" allUniqueName="[Mach_Rad_Dev_Comp].[Date].[All]" dimensionUniqueName="[Mach_Rad_Dev_Comp]" displayFolder="" count="0" memberValueDatatype="7" unbalanced="0"/>
    <cacheHierarchy uniqueName="[Mach_Rad_Dev_Comp].[Pt]" caption="Pt" attribute="1" defaultMemberUniqueName="[Mach_Rad_Dev_Comp].[Pt].[All]" allUniqueName="[Mach_Rad_Dev_Comp].[Pt].[All]" dimensionUniqueName="[Mach_Rad_Dev_Comp]" displayFolder="" count="0" memberValueDatatype="130" unbalanced="0"/>
    <cacheHierarchy uniqueName="[Mach_Rad_Dev_Comp].[Case]" caption="Case" attribute="1" defaultMemberUniqueName="[Mach_Rad_Dev_Comp].[Case].[All]" allUniqueName="[Mach_Rad_Dev_Comp].[Case].[All]" dimensionUniqueName="[Mach_Rad_Dev_Comp]" displayFolder="" count="0" memberValueDatatype="130" unbalanced="0"/>
    <cacheHierarchy uniqueName="[Mach_Rad_Dev_Comp].[Plan]" caption="Plan" attribute="1" defaultMemberUniqueName="[Mach_Rad_Dev_Comp].[Plan].[All]" allUniqueName="[Mach_Rad_Dev_Comp].[Plan].[All]" dimensionUniqueName="[Mach_Rad_Dev_Comp]" displayFolder="" count="0" memberValueDatatype="130" unbalanced="0"/>
    <cacheHierarchy uniqueName="[Mach_Rad_Dev_Comp].[Body Site]" caption="Body Site" attribute="1" defaultMemberUniqueName="[Mach_Rad_Dev_Comp].[Body Site].[All]" allUniqueName="[Mach_Rad_Dev_Comp].[Body Site].[All]" dimensionUniqueName="[Mach_Rad_Dev_Comp]" displayFolder="" count="0" memberValueDatatype="130" unbalanced="0"/>
    <cacheHierarchy uniqueName="[Mach_Rad_Dev_Comp].[Tx Technique]" caption="Tx Technique" attribute="1" defaultMemberUniqueName="[Mach_Rad_Dev_Comp].[Tx Technique].[All]" allUniqueName="[Mach_Rad_Dev_Comp].[Tx Technique].[All]" dimensionUniqueName="[Mach_Rad_Dev_Comp]" displayFolder="" count="0" memberValueDatatype="130" unbalanced="0"/>
    <cacheHierarchy uniqueName="[Mach_Rad_Dev_Comp].[E1 ELEKTA Beam 1 GPR]" caption="E1 ELEKTA Beam 1 GPR" attribute="1" defaultMemberUniqueName="[Mach_Rad_Dev_Comp].[E1 ELEKTA Beam 1 GPR].[All]" allUniqueName="[Mach_Rad_Dev_Comp].[E1 ELEKTA Beam 1 GPR].[All]" dimensionUniqueName="[Mach_Rad_Dev_Comp]" displayFolder="" count="0" memberValueDatatype="5" unbalanced="0"/>
    <cacheHierarchy uniqueName="[Mach_Rad_Dev_Comp].[E1 ELEKTA Beam 2 GPR]" caption="E1 ELEKTA Beam 2 GPR" attribute="1" defaultMemberUniqueName="[Mach_Rad_Dev_Comp].[E1 ELEKTA Beam 2 GPR].[All]" allUniqueName="[Mach_Rad_Dev_Comp].[E1 ELEKTA Beam 2 GPR].[All]" dimensionUniqueName="[Mach_Rad_Dev_Comp]" displayFolder="" count="0" memberValueDatatype="5" unbalanced="0"/>
    <cacheHierarchy uniqueName="[Mach_Rad_Dev_Comp].[E1 ELEKTA Plan GPR]" caption="E1 ELEKTA Plan GPR" attribute="1" defaultMemberUniqueName="[Mach_Rad_Dev_Comp].[E1 ELEKTA Plan GPR].[All]" allUniqueName="[Mach_Rad_Dev_Comp].[E1 ELEKTA Plan GPR].[All]" dimensionUniqueName="[Mach_Rad_Dev_Comp]" displayFolder="" count="0" memberValueDatatype="5" unbalanced="0"/>
    <cacheHierarchy uniqueName="[Mach_Rad_Dev_Comp].[E2 ELEKTA Beam 1 GPR]" caption="E2 ELEKTA Beam 1 GPR" attribute="1" defaultMemberUniqueName="[Mach_Rad_Dev_Comp].[E2 ELEKTA Beam 1 GPR].[All]" allUniqueName="[Mach_Rad_Dev_Comp].[E2 ELEKTA Beam 1 GPR].[All]" dimensionUniqueName="[Mach_Rad_Dev_Comp]" displayFolder="" count="0" memberValueDatatype="5" unbalanced="0"/>
    <cacheHierarchy uniqueName="[Mach_Rad_Dev_Comp].[E2 ELEKTA Beam 2 GPR]" caption="E2 ELEKTA Beam 2 GPR" attribute="1" defaultMemberUniqueName="[Mach_Rad_Dev_Comp].[E2 ELEKTA Beam 2 GPR].[All]" allUniqueName="[Mach_Rad_Dev_Comp].[E2 ELEKTA Beam 2 GPR].[All]" dimensionUniqueName="[Mach_Rad_Dev_Comp]" displayFolder="" count="0" memberValueDatatype="5" unbalanced="0"/>
    <cacheHierarchy uniqueName="[Mach_Rad_Dev_Comp].[E2 ELEKTA Plan GPR]" caption="E2 ELEKTA Plan GPR" attribute="1" defaultMemberUniqueName="[Mach_Rad_Dev_Comp].[E2 ELEKTA Plan GPR].[All]" allUniqueName="[Mach_Rad_Dev_Comp].[E2 ELEKTA Plan GPR].[All]" dimensionUniqueName="[Mach_Rad_Dev_Comp]" displayFolder="" count="0" memberValueDatatype="5" unbalanced="0"/>
    <cacheHierarchy uniqueName="[Mach_Rad_Dev_Comp].[E2 E2 Beam 1 GPR]" caption="E2 E2 Beam 1 GPR" attribute="1" defaultMemberUniqueName="[Mach_Rad_Dev_Comp].[E2 E2 Beam 1 GPR].[All]" allUniqueName="[Mach_Rad_Dev_Comp].[E2 E2 Beam 1 GPR].[All]" dimensionUniqueName="[Mach_Rad_Dev_Comp]" displayFolder="" count="0" memberValueDatatype="5" unbalanced="0"/>
    <cacheHierarchy uniqueName="[Mach_Rad_Dev_Comp].[E2 E2 Beam 2 GPR]" caption="E2 E2 Beam 2 GPR" attribute="1" defaultMemberUniqueName="[Mach_Rad_Dev_Comp].[E2 E2 Beam 2 GPR].[All]" allUniqueName="[Mach_Rad_Dev_Comp].[E2 E2 Beam 2 GPR].[All]" dimensionUniqueName="[Mach_Rad_Dev_Comp]" displayFolder="" count="0" memberValueDatatype="5" unbalanced="0"/>
    <cacheHierarchy uniqueName="[Mach_Rad_Dev_Comp].[E2 E2 Plan GPR]" caption="E2 E2 Plan GPR" attribute="1" defaultMemberUniqueName="[Mach_Rad_Dev_Comp].[E2 E2 Plan GPR].[All]" allUniqueName="[Mach_Rad_Dev_Comp].[E2 E2 Plan GPR].[All]" dimensionUniqueName="[Mach_Rad_Dev_Comp]" displayFolder="" count="0" memberValueDatatype="5" unbalanced="0"/>
    <cacheHierarchy uniqueName="[Mach_Rad_Dev_Comp].[Beam 1: E2 E2 - E2 ELEKTA]" caption="Beam 1: E2 E2 - E2 ELEKTA" attribute="1" defaultMemberUniqueName="[Mach_Rad_Dev_Comp].[Beam 1: E2 E2 - E2 ELEKTA].[All]" allUniqueName="[Mach_Rad_Dev_Comp].[Beam 1: E2 E2 - E2 ELEKTA].[All]" dimensionUniqueName="[Mach_Rad_Dev_Comp]" displayFolder="" count="0" memberValueDatatype="5" unbalanced="0"/>
    <cacheHierarchy uniqueName="[Mach_Rad_Dev_Comp].[E1 E2 Beam 1 GPR]" caption="E1 E2 Beam 1 GPR" attribute="1" defaultMemberUniqueName="[Mach_Rad_Dev_Comp].[E1 E2 Beam 1 GPR].[All]" allUniqueName="[Mach_Rad_Dev_Comp].[E1 E2 Beam 1 GPR].[All]" dimensionUniqueName="[Mach_Rad_Dev_Comp]" displayFolder="" count="0" memberValueDatatype="5" unbalanced="0"/>
    <cacheHierarchy uniqueName="[Mach_Rad_Dev_Comp].[E1 E2 Beam 2 GPR]" caption="E1 E2 Beam 2 GPR" attribute="1" defaultMemberUniqueName="[Mach_Rad_Dev_Comp].[E1 E2 Beam 2 GPR].[All]" allUniqueName="[Mach_Rad_Dev_Comp].[E1 E2 Beam 2 GPR].[All]" dimensionUniqueName="[Mach_Rad_Dev_Comp]" displayFolder="" count="0" memberValueDatatype="5" unbalanced="0"/>
    <cacheHierarchy uniqueName="[Mach_Rad_Dev_Comp].[E1 E2 Plan GPR]" caption="E1 E2 Plan GPR" attribute="1" defaultMemberUniqueName="[Mach_Rad_Dev_Comp].[E1 E2 Plan GPR].[All]" allUniqueName="[Mach_Rad_Dev_Comp].[E1 E2 Plan GPR].[All]" dimensionUniqueName="[Mach_Rad_Dev_Comp]" displayFolder="" count="0" memberValueDatatype="5" unbalanced="0"/>
    <cacheHierarchy uniqueName="[Mach_Rad_Dev_Comp].[Beam 2: E2 E2 - E2 ELEKTA]" caption="Beam 2: E2 E2 - E2 ELEKTA" attribute="1" defaultMemberUniqueName="[Mach_Rad_Dev_Comp].[Beam 2: E2 E2 - E2 ELEKTA].[All]" allUniqueName="[Mach_Rad_Dev_Comp].[Beam 2: E2 E2 - E2 ELEKTA].[All]" dimensionUniqueName="[Mach_Rad_Dev_Comp]" displayFolder="" count="0" memberValueDatatype="5" unbalanced="0"/>
    <cacheHierarchy uniqueName="[Mach_Rad_Dev_Comp].[Plan: E2 E2 - E2 ELEKTA]" caption="Plan: E2 E2 - E2 ELEKTA" attribute="1" defaultMemberUniqueName="[Mach_Rad_Dev_Comp].[Plan: E2 E2 - E2 ELEKTA].[All]" allUniqueName="[Mach_Rad_Dev_Comp].[Plan: E2 E2 - E2 ELEKTA].[All]" dimensionUniqueName="[Mach_Rad_Dev_Comp]" displayFolder="" count="0" memberValueDatatype="5" unbalanced="0"/>
    <cacheHierarchy uniqueName="[Mach_Rad_Dev_Comp].[Beam 1: E1 ELEKTA - E2 E2]" caption="Beam 1: E1 ELEKTA - E2 E2" attribute="1" defaultMemberUniqueName="[Mach_Rad_Dev_Comp].[Beam 1: E1 ELEKTA - E2 E2].[All]" allUniqueName="[Mach_Rad_Dev_Comp].[Beam 1: E1 ELEKTA - E2 E2].[All]" dimensionUniqueName="[Mach_Rad_Dev_Comp]" displayFolder="" count="0" memberValueDatatype="5" unbalanced="0"/>
    <cacheHierarchy uniqueName="[Mach_Rad_Dev_Comp].[Beam 2: E1 ELEKTA - E2 E2]" caption="Beam 2: E1 ELEKTA - E2 E2" attribute="1" defaultMemberUniqueName="[Mach_Rad_Dev_Comp].[Beam 2: E1 ELEKTA - E2 E2].[All]" allUniqueName="[Mach_Rad_Dev_Comp].[Beam 2: E1 ELEKTA - E2 E2].[All]" dimensionUniqueName="[Mach_Rad_Dev_Comp]" displayFolder="" count="0" memberValueDatatype="5" unbalanced="0"/>
    <cacheHierarchy uniqueName="[Mach_Rad_Dev_Comp].[Plan: E1 ELEKTA - E2 E2]" caption="Plan: E1 ELEKTA - E2 E2" attribute="1" defaultMemberUniqueName="[Mach_Rad_Dev_Comp].[Plan: E1 ELEKTA - E2 E2].[All]" allUniqueName="[Mach_Rad_Dev_Comp].[Plan: E1 ELEKTA - E2 E2].[All]" dimensionUniqueName="[Mach_Rad_Dev_Comp]" displayFolder="" count="0" memberValueDatatype="5" unbalanced="0"/>
    <cacheHierarchy uniqueName="[Mach_Rad_Dev_Comp].[Before/After Energy Adjustment]" caption="Before/After Energy Adjustment" attribute="1" defaultMemberUniqueName="[Mach_Rad_Dev_Comp].[Before/After Energy Adjustment].[All]" allUniqueName="[Mach_Rad_Dev_Comp].[Before/After Energy Adjustment].[All]" dimensionUniqueName="[Mach_Rad_Dev_Comp]" displayFolder="" count="0" memberValueDatatype="130" unbalanced="0"/>
    <cacheHierarchy uniqueName="[Measures].[__XL_Count D4_Abs_Cal_Comp]" caption="__XL_Count D4_Abs_Cal_Comp" measure="1" displayFolder="" measureGroup="D4_Abs_Cal_Comp" count="0" hidden="1"/>
    <cacheHierarchy uniqueName="[Measures].[__XL_Count Mach_Rad_Dev_Comp]" caption="__XL_Count Mach_Rad_Dev_Comp" measure="1" displayFolder="" measureGroup="Mach_Rad_Dev_Comp" count="0" hidden="1"/>
    <cacheHierarchy uniqueName="[Measures].[__No measures defined]" caption="__No measures defined" measure="1" displayFolder="" count="0" hidden="1"/>
    <cacheHierarchy uniqueName="[Measures].[Sum of Beam 1: E2 E2 - E2 ELEKTA]" caption="Sum of Beam 1: E2 E2 - E2 ELEKTA" measure="1" displayFolder="" measureGroup="Mach_Rad_Dev_Comp" count="0" hidden="1">
      <extLst>
        <ext xmlns:x15="http://schemas.microsoft.com/office/spreadsheetml/2010/11/main" uri="{B97F6D7D-B522-45F9-BDA1-12C45D357490}">
          <x15:cacheHierarchy aggregatedColumn="40"/>
        </ext>
      </extLst>
    </cacheHierarchy>
    <cacheHierarchy uniqueName="[Measures].[Average of Beam 1: E2 E2 - E2 ELEKTA]" caption="Average of Beam 1: E2 E2 - E2 ELEKTA" measure="1" displayFolder="" measureGroup="Mach_Rad_Dev_Comp" count="0" oneField="1" hidden="1">
      <fieldsUsage count="1">
        <fieldUsage x="0"/>
      </fieldsUsage>
      <extLst>
        <ext xmlns:x15="http://schemas.microsoft.com/office/spreadsheetml/2010/11/main" uri="{B97F6D7D-B522-45F9-BDA1-12C45D357490}">
          <x15:cacheHierarchy aggregatedColumn="40"/>
        </ext>
      </extLst>
    </cacheHierarchy>
    <cacheHierarchy uniqueName="[Measures].[Sum of Beam 2: E2 E2 - E2 ELEKTA]" caption="Sum of Beam 2: E2 E2 - E2 ELEKTA" measure="1" displayFolder="" measureGroup="Mach_Rad_Dev_Comp" count="0" hidden="1">
      <extLst>
        <ext xmlns:x15="http://schemas.microsoft.com/office/spreadsheetml/2010/11/main" uri="{B97F6D7D-B522-45F9-BDA1-12C45D357490}">
          <x15:cacheHierarchy aggregatedColumn="44"/>
        </ext>
      </extLst>
    </cacheHierarchy>
    <cacheHierarchy uniqueName="[Measures].[Sum of Plan: E2 E2 - E2 ELEKTA]" caption="Sum of Plan: E2 E2 - E2 ELEKTA" measure="1" displayFolder="" measureGroup="Mach_Rad_Dev_Comp" count="0" hidden="1">
      <extLst>
        <ext xmlns:x15="http://schemas.microsoft.com/office/spreadsheetml/2010/11/main" uri="{B97F6D7D-B522-45F9-BDA1-12C45D357490}">
          <x15:cacheHierarchy aggregatedColumn="45"/>
        </ext>
      </extLst>
    </cacheHierarchy>
    <cacheHierarchy uniqueName="[Measures].[Average of Beam 2: E2 E2 - E2 ELEKTA]" caption="Average of Beam 2: E2 E2 - E2 ELEKTA" measure="1" displayFolder="" measureGroup="Mach_Rad_Dev_Comp" count="0" oneField="1" hidden="1">
      <fieldsUsage count="1">
        <fieldUsage x="1"/>
      </fieldsUsage>
      <extLst>
        <ext xmlns:x15="http://schemas.microsoft.com/office/spreadsheetml/2010/11/main" uri="{B97F6D7D-B522-45F9-BDA1-12C45D357490}">
          <x15:cacheHierarchy aggregatedColumn="44"/>
        </ext>
      </extLst>
    </cacheHierarchy>
    <cacheHierarchy uniqueName="[Measures].[Average of Plan: E2 E2 - E2 ELEKTA]" caption="Average of Plan: E2 E2 - E2 ELEKTA" measure="1" displayFolder="" measureGroup="Mach_Rad_Dev_Comp" count="0" oneField="1" hidden="1">
      <fieldsUsage count="1">
        <fieldUsage x="2"/>
      </fieldsUsage>
      <extLst>
        <ext xmlns:x15="http://schemas.microsoft.com/office/spreadsheetml/2010/11/main" uri="{B97F6D7D-B522-45F9-BDA1-12C45D357490}">
          <x15:cacheHierarchy aggregatedColumn="45"/>
        </ext>
      </extLst>
    </cacheHierarchy>
    <cacheHierarchy uniqueName="[Measures].[Sum of Beam 1: E1 ELEKTA - E2 E2]" caption="Sum of Beam 1: E1 ELEKTA - E2 E2" measure="1" displayFolder="" measureGroup="Mach_Rad_Dev_Comp" count="0" hidden="1">
      <extLst>
        <ext xmlns:x15="http://schemas.microsoft.com/office/spreadsheetml/2010/11/main" uri="{B97F6D7D-B522-45F9-BDA1-12C45D357490}">
          <x15:cacheHierarchy aggregatedColumn="46"/>
        </ext>
      </extLst>
    </cacheHierarchy>
    <cacheHierarchy uniqueName="[Measures].[Sum of Beam 2: E1 ELEKTA - E2 E2]" caption="Sum of Beam 2: E1 ELEKTA - E2 E2" measure="1" displayFolder="" measureGroup="Mach_Rad_Dev_Comp" count="0" hidden="1">
      <extLst>
        <ext xmlns:x15="http://schemas.microsoft.com/office/spreadsheetml/2010/11/main" uri="{B97F6D7D-B522-45F9-BDA1-12C45D357490}">
          <x15:cacheHierarchy aggregatedColumn="47"/>
        </ext>
      </extLst>
    </cacheHierarchy>
    <cacheHierarchy uniqueName="[Measures].[Sum of Plan: E1 ELEKTA - E2 E2]" caption="Sum of Plan: E1 ELEKTA - E2 E2" measure="1" displayFolder="" measureGroup="Mach_Rad_Dev_Comp" count="0" hidden="1">
      <extLst>
        <ext xmlns:x15="http://schemas.microsoft.com/office/spreadsheetml/2010/11/main" uri="{B97F6D7D-B522-45F9-BDA1-12C45D357490}">
          <x15:cacheHierarchy aggregatedColumn="48"/>
        </ext>
      </extLst>
    </cacheHierarchy>
    <cacheHierarchy uniqueName="[Measures].[Average of Plan: E1 ELEKTA - E2 E2]" caption="Average of Plan: E1 ELEKTA - E2 E2" measure="1" displayFolder="" measureGroup="Mach_Rad_Dev_Comp" count="0" hidden="1">
      <extLst>
        <ext xmlns:x15="http://schemas.microsoft.com/office/spreadsheetml/2010/11/main" uri="{B97F6D7D-B522-45F9-BDA1-12C45D357490}">
          <x15:cacheHierarchy aggregatedColumn="48"/>
        </ext>
      </extLst>
    </cacheHierarchy>
    <cacheHierarchy uniqueName="[Measures].[Average of Beam 2: E1 ELEKTA - E2 E2]" caption="Average of Beam 2: E1 ELEKTA - E2 E2" measure="1" displayFolder="" measureGroup="Mach_Rad_Dev_Comp" count="0" hidden="1">
      <extLst>
        <ext xmlns:x15="http://schemas.microsoft.com/office/spreadsheetml/2010/11/main" uri="{B97F6D7D-B522-45F9-BDA1-12C45D357490}">
          <x15:cacheHierarchy aggregatedColumn="47"/>
        </ext>
      </extLst>
    </cacheHierarchy>
    <cacheHierarchy uniqueName="[Measures].[Average of Beam 1: E1 ELEKTA - E2 E2]" caption="Average of Beam 1: E1 ELEKTA - E2 E2" measure="1" displayFolder="" measureGroup="Mach_Rad_Dev_Comp" count="0" hidden="1">
      <extLst>
        <ext xmlns:x15="http://schemas.microsoft.com/office/spreadsheetml/2010/11/main" uri="{B97F6D7D-B522-45F9-BDA1-12C45D357490}">
          <x15:cacheHierarchy aggregatedColumn="46"/>
        </ext>
      </extLst>
    </cacheHierarchy>
  </cacheHierarchies>
  <kpis count="0"/>
  <dimensions count="3">
    <dimension name="D4_Abs_Cal_Comp" uniqueName="[D4_Abs_Cal_Comp]" caption="D4_Abs_Cal_Comp"/>
    <dimension name="Mach_Rad_Dev_Comp" uniqueName="[Mach_Rad_Dev_Comp]" caption="Mach_Rad_Dev_Comp"/>
    <dimension measure="1" name="Measures" uniqueName="[Measures]" caption="Measures"/>
  </dimensions>
  <measureGroups count="2">
    <measureGroup name="D4_Abs_Cal_Comp" caption="D4_Abs_Cal_Comp"/>
    <measureGroup name="Mach_Rad_Dev_Comp" caption="Mach_Rad_Dev_Comp"/>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r:id="rId1" refreshOnLoad="1" refreshedBy="Kaley E. White" refreshedDate="44719.466481481482" createdVersion="6" refreshedVersion="6" minRefreshableVersion="3" recordCount="65">
  <cacheSource type="worksheet">
    <worksheetSource name="D4_Abs_Cal_Comp"/>
  </cacheSource>
  <cacheFields count="12">
    <cacheField name="Date" numFmtId="14">
      <sharedItems containsSemiMixedTypes="0" containsNonDate="0" containsDate="1" containsString="0" minDate="2022-04-12T00:00:00" maxDate="2022-06-04T00:00:00" count="18">
        <d v="2022-05-09T00:00:00"/>
        <d v="2022-05-06T00:00:00"/>
        <d v="2022-05-05T00:00:00"/>
        <d v="2022-04-15T00:00:00"/>
        <d v="2022-05-03T00:00:00"/>
        <d v="2022-05-10T00:00:00"/>
        <d v="2022-04-26T00:00:00"/>
        <d v="2022-04-13T00:00:00"/>
        <d v="2022-05-02T00:00:00"/>
        <d v="2022-04-22T00:00:00"/>
        <d v="2022-04-12T00:00:00"/>
        <d v="2022-04-25T00:00:00"/>
        <d v="2022-04-27T00:00:00"/>
        <d v="2022-05-16T00:00:00"/>
        <d v="2022-05-17T00:00:00"/>
        <d v="2022-05-20T00:00:00"/>
        <d v="2022-05-31T00:00:00"/>
        <d v="2022-06-03T00:00:00"/>
      </sharedItems>
    </cacheField>
    <cacheField name="Pt" numFmtId="0">
      <sharedItems count="29">
        <s v="Vandett, Diane"/>
        <s v="Meadows, Robert"/>
        <s v="Herron, Carlos"/>
        <s v="French, Joseph"/>
        <s v="Gamble, Barbara"/>
        <s v="Ballard, Howard"/>
        <s v="Brown, Lowell"/>
        <s v="Hummel, Sallie"/>
        <s v="Bayless, Kenneth"/>
        <s v="Neale, John"/>
        <s v="Spencer, Ruth"/>
        <s v="Wilkes, Helen"/>
        <s v="Davis, Robert"/>
        <s v="Edwards, Ricky"/>
        <s v="Roberts, Kathy"/>
        <s v="Young, Mary"/>
        <s v="Draper, Gale"/>
        <s v="Crain, Randy"/>
        <s v="Burrows, Michael"/>
        <s v="George, Debbie"/>
        <s v="Fuqua, Paul"/>
        <s v="Hunter, Odetta"/>
        <s v="Weiffenbach, Nancy"/>
        <s v="Nevels, Bernice"/>
        <s v="Kenney, Peggy"/>
        <s v="Holman, Justin"/>
        <s v="Brown, Robin"/>
        <s v="Clinard, William"/>
        <s v="Hale, Barbara"/>
      </sharedItems>
    </cacheField>
    <cacheField name="Case" numFmtId="0">
      <sharedItems/>
    </cacheField>
    <cacheField name="Plan" numFmtId="0">
      <sharedItems count="22">
        <s v="R Lung"/>
        <s v="SBRT L Lung"/>
        <s v="SBRT LML"/>
        <s v="Rectum"/>
        <s v="VMAT Rectum"/>
        <s v="VMAT Rectal Bst"/>
        <s v="R Lung Retx"/>
        <s v="Rectal Boost"/>
        <s v="VMAT Epigastric"/>
        <s v="VMAT R Lung"/>
        <s v="Anus"/>
        <s v="Anus Boost"/>
        <s v="Cervix Boost"/>
        <s v="Esophagus"/>
        <s v="L Lung"/>
        <s v="Pancreas"/>
        <s v="Adapt R Lung"/>
        <s v="VMAT Rectum Bst"/>
        <s v="Prostate Bed"/>
        <s v="PB Boost"/>
        <s v="Endometrium"/>
        <s v="VMAT Cervix"/>
      </sharedItems>
    </cacheField>
    <cacheField name="Body Site" numFmtId="0">
      <sharedItems count="10">
        <s v="Lung"/>
        <s v="Rectum"/>
        <s v="Abdomen"/>
        <s v="Anus"/>
        <s v="Cervix"/>
        <s v="Esophagus"/>
        <s v="Pancreas"/>
        <s v="Prostate"/>
        <s v="Endometrium"/>
        <s v="VMAT Cervix"/>
      </sharedItems>
    </cacheField>
    <cacheField name="Tx Technique" numFmtId="0">
      <sharedItems count="2">
        <s v="VMAT"/>
        <s v="SBRT"/>
      </sharedItems>
    </cacheField>
    <cacheField name="Machine" numFmtId="0">
      <sharedItems count="2">
        <s v="E1"/>
        <s v="E2"/>
      </sharedItems>
    </cacheField>
    <cacheField name="TreatmentMachineName / Radiation Device" numFmtId="0">
      <sharedItems count="3">
        <s v="ELEKTA"/>
        <s v="E2"/>
        <s v="E1" u="1"/>
      </sharedItems>
    </cacheField>
    <cacheField name="Beam 1 GPR" numFmtId="164">
      <sharedItems containsSemiMixedTypes="0" containsString="0" containsNumber="1" minValue="81.5" maxValue="100"/>
    </cacheField>
    <cacheField name="Beam 2 GPR" numFmtId="164">
      <sharedItems containsSemiMixedTypes="0" containsString="0" containsNumber="1" minValue="83.7" maxValue="100"/>
    </cacheField>
    <cacheField name="Plan GPR" numFmtId="164">
      <sharedItems containsSemiMixedTypes="0" containsString="0" containsNumber="1" minValue="73.599999999999994" maxValue="100"/>
    </cacheField>
    <cacheField name="Before/After Energy Adjustment" numFmtId="164">
      <sharedItems count="3">
        <s v="After"/>
        <s v="Before"/>
        <s v=""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5">
  <r>
    <x v="0"/>
    <x v="0"/>
    <s v="Thorax"/>
    <x v="0"/>
    <x v="0"/>
    <x v="0"/>
    <x v="0"/>
    <x v="0"/>
    <n v="97.2"/>
    <n v="98.3"/>
    <n v="95.8"/>
    <x v="0"/>
  </r>
  <r>
    <x v="0"/>
    <x v="0"/>
    <s v="Thorax"/>
    <x v="0"/>
    <x v="0"/>
    <x v="0"/>
    <x v="1"/>
    <x v="0"/>
    <n v="88.7"/>
    <n v="96.5"/>
    <n v="87"/>
    <x v="0"/>
  </r>
  <r>
    <x v="0"/>
    <x v="1"/>
    <s v="SBRT L Lung"/>
    <x v="1"/>
    <x v="0"/>
    <x v="1"/>
    <x v="0"/>
    <x v="0"/>
    <n v="100"/>
    <n v="100"/>
    <n v="100"/>
    <x v="0"/>
  </r>
  <r>
    <x v="0"/>
    <x v="1"/>
    <s v="SBRT L Lung"/>
    <x v="1"/>
    <x v="0"/>
    <x v="1"/>
    <x v="1"/>
    <x v="0"/>
    <n v="100"/>
    <n v="100"/>
    <n v="100"/>
    <x v="0"/>
  </r>
  <r>
    <x v="0"/>
    <x v="2"/>
    <s v="Thorax"/>
    <x v="2"/>
    <x v="0"/>
    <x v="1"/>
    <x v="0"/>
    <x v="0"/>
    <n v="99.5"/>
    <n v="100"/>
    <n v="99.8"/>
    <x v="0"/>
  </r>
  <r>
    <x v="0"/>
    <x v="2"/>
    <s v="Thorax"/>
    <x v="2"/>
    <x v="0"/>
    <x v="1"/>
    <x v="1"/>
    <x v="0"/>
    <n v="100"/>
    <n v="100"/>
    <n v="100"/>
    <x v="0"/>
  </r>
  <r>
    <x v="1"/>
    <x v="3"/>
    <s v="Pelvis"/>
    <x v="3"/>
    <x v="1"/>
    <x v="0"/>
    <x v="0"/>
    <x v="0"/>
    <n v="99.3"/>
    <n v="99.8"/>
    <n v="99.9"/>
    <x v="0"/>
  </r>
  <r>
    <x v="1"/>
    <x v="3"/>
    <s v="Pelvis"/>
    <x v="3"/>
    <x v="1"/>
    <x v="0"/>
    <x v="1"/>
    <x v="0"/>
    <n v="95.2"/>
    <n v="92.6"/>
    <n v="82.9"/>
    <x v="0"/>
  </r>
  <r>
    <x v="2"/>
    <x v="4"/>
    <s v="VMAT Rectum"/>
    <x v="4"/>
    <x v="1"/>
    <x v="0"/>
    <x v="0"/>
    <x v="0"/>
    <n v="99.3"/>
    <n v="99.8"/>
    <n v="98.7"/>
    <x v="0"/>
  </r>
  <r>
    <x v="2"/>
    <x v="4"/>
    <s v="VMAT Rectum"/>
    <x v="5"/>
    <x v="1"/>
    <x v="0"/>
    <x v="0"/>
    <x v="0"/>
    <n v="98.5"/>
    <n v="99.2"/>
    <n v="98.5"/>
    <x v="0"/>
  </r>
  <r>
    <x v="3"/>
    <x v="5"/>
    <s v="Thorax"/>
    <x v="6"/>
    <x v="0"/>
    <x v="0"/>
    <x v="0"/>
    <x v="0"/>
    <n v="99.7"/>
    <n v="99.7"/>
    <n v="99.7"/>
    <x v="1"/>
  </r>
  <r>
    <x v="4"/>
    <x v="6"/>
    <s v="Pelvis"/>
    <x v="3"/>
    <x v="1"/>
    <x v="0"/>
    <x v="0"/>
    <x v="0"/>
    <n v="99"/>
    <n v="99.9"/>
    <n v="99"/>
    <x v="0"/>
  </r>
  <r>
    <x v="5"/>
    <x v="6"/>
    <s v="Pelvis"/>
    <x v="3"/>
    <x v="1"/>
    <x v="0"/>
    <x v="1"/>
    <x v="1"/>
    <n v="97.6"/>
    <n v="96.7"/>
    <n v="93.6"/>
    <x v="0"/>
  </r>
  <r>
    <x v="4"/>
    <x v="6"/>
    <s v="Pelvis"/>
    <x v="7"/>
    <x v="1"/>
    <x v="0"/>
    <x v="0"/>
    <x v="0"/>
    <n v="96.4"/>
    <n v="99.7"/>
    <n v="98.9"/>
    <x v="0"/>
  </r>
  <r>
    <x v="5"/>
    <x v="6"/>
    <s v="Pelvis"/>
    <x v="7"/>
    <x v="1"/>
    <x v="0"/>
    <x v="1"/>
    <x v="1"/>
    <n v="98.9"/>
    <n v="97.4"/>
    <n v="95.7"/>
    <x v="0"/>
  </r>
  <r>
    <x v="4"/>
    <x v="7"/>
    <s v="Abdomen"/>
    <x v="8"/>
    <x v="2"/>
    <x v="0"/>
    <x v="0"/>
    <x v="0"/>
    <n v="99.1"/>
    <n v="98.9"/>
    <n v="94.3"/>
    <x v="0"/>
  </r>
  <r>
    <x v="6"/>
    <x v="8"/>
    <s v="HNK"/>
    <x v="9"/>
    <x v="0"/>
    <x v="0"/>
    <x v="1"/>
    <x v="0"/>
    <n v="99.8"/>
    <n v="99.1"/>
    <n v="99.8"/>
    <x v="1"/>
  </r>
  <r>
    <x v="5"/>
    <x v="8"/>
    <s v="HNK"/>
    <x v="9"/>
    <x v="0"/>
    <x v="0"/>
    <x v="1"/>
    <x v="0"/>
    <n v="97.5"/>
    <n v="96.3"/>
    <n v="97.3"/>
    <x v="0"/>
  </r>
  <r>
    <x v="7"/>
    <x v="9"/>
    <s v="VMAT Rectum"/>
    <x v="4"/>
    <x v="1"/>
    <x v="0"/>
    <x v="0"/>
    <x v="0"/>
    <n v="99.2"/>
    <n v="99.5"/>
    <n v="98.9"/>
    <x v="1"/>
  </r>
  <r>
    <x v="5"/>
    <x v="9"/>
    <s v="VMAT Rectum"/>
    <x v="4"/>
    <x v="1"/>
    <x v="0"/>
    <x v="1"/>
    <x v="0"/>
    <n v="99.7"/>
    <n v="95.6"/>
    <n v="95.6"/>
    <x v="0"/>
  </r>
  <r>
    <x v="2"/>
    <x v="10"/>
    <s v="Pelvis"/>
    <x v="10"/>
    <x v="3"/>
    <x v="0"/>
    <x v="0"/>
    <x v="0"/>
    <n v="99.6"/>
    <n v="99.2"/>
    <n v="99.3"/>
    <x v="0"/>
  </r>
  <r>
    <x v="5"/>
    <x v="10"/>
    <s v="Pelvis"/>
    <x v="10"/>
    <x v="3"/>
    <x v="0"/>
    <x v="1"/>
    <x v="0"/>
    <n v="96.7"/>
    <n v="83.7"/>
    <n v="78.3"/>
    <x v="0"/>
  </r>
  <r>
    <x v="5"/>
    <x v="10"/>
    <s v="Pelvis"/>
    <x v="10"/>
    <x v="3"/>
    <x v="0"/>
    <x v="1"/>
    <x v="1"/>
    <n v="98.4"/>
    <n v="85.7"/>
    <n v="82.5"/>
    <x v="0"/>
  </r>
  <r>
    <x v="2"/>
    <x v="10"/>
    <s v="Pelvis"/>
    <x v="11"/>
    <x v="3"/>
    <x v="0"/>
    <x v="0"/>
    <x v="0"/>
    <n v="99.7"/>
    <n v="99.7"/>
    <n v="99.5"/>
    <x v="0"/>
  </r>
  <r>
    <x v="5"/>
    <x v="10"/>
    <s v="Pelvis"/>
    <x v="11"/>
    <x v="3"/>
    <x v="0"/>
    <x v="1"/>
    <x v="0"/>
    <n v="81.5"/>
    <n v="86.2"/>
    <n v="77.599999999999994"/>
    <x v="0"/>
  </r>
  <r>
    <x v="5"/>
    <x v="10"/>
    <s v="Pelvis"/>
    <x v="11"/>
    <x v="3"/>
    <x v="0"/>
    <x v="1"/>
    <x v="1"/>
    <n v="87.9"/>
    <n v="92.9"/>
    <n v="86.1"/>
    <x v="0"/>
  </r>
  <r>
    <x v="8"/>
    <x v="11"/>
    <s v="Pelvis"/>
    <x v="12"/>
    <x v="4"/>
    <x v="0"/>
    <x v="0"/>
    <x v="0"/>
    <n v="98.8"/>
    <n v="98.9"/>
    <n v="98.2"/>
    <x v="0"/>
  </r>
  <r>
    <x v="5"/>
    <x v="11"/>
    <s v="Pelvis"/>
    <x v="12"/>
    <x v="4"/>
    <x v="0"/>
    <x v="1"/>
    <x v="0"/>
    <n v="92.7"/>
    <n v="97.2"/>
    <n v="90.8"/>
    <x v="0"/>
  </r>
  <r>
    <x v="9"/>
    <x v="12"/>
    <s v="Thorax"/>
    <x v="13"/>
    <x v="5"/>
    <x v="0"/>
    <x v="0"/>
    <x v="0"/>
    <n v="98.9"/>
    <n v="97.3"/>
    <n v="94.2"/>
    <x v="1"/>
  </r>
  <r>
    <x v="5"/>
    <x v="12"/>
    <s v="Thorax"/>
    <x v="13"/>
    <x v="5"/>
    <x v="0"/>
    <x v="1"/>
    <x v="0"/>
    <n v="95.3"/>
    <n v="85.3"/>
    <n v="80.400000000000006"/>
    <x v="0"/>
  </r>
  <r>
    <x v="10"/>
    <x v="13"/>
    <s v="Thorax"/>
    <x v="14"/>
    <x v="0"/>
    <x v="0"/>
    <x v="0"/>
    <x v="0"/>
    <n v="97.1"/>
    <n v="98.1"/>
    <n v="99.8"/>
    <x v="1"/>
  </r>
  <r>
    <x v="4"/>
    <x v="14"/>
    <s v="Abdomen"/>
    <x v="15"/>
    <x v="6"/>
    <x v="0"/>
    <x v="1"/>
    <x v="0"/>
    <n v="99.5"/>
    <n v="97.7"/>
    <n v="97.4"/>
    <x v="0"/>
  </r>
  <r>
    <x v="7"/>
    <x v="15"/>
    <s v="Thorax2"/>
    <x v="14"/>
    <x v="0"/>
    <x v="0"/>
    <x v="0"/>
    <x v="0"/>
    <n v="94.5"/>
    <n v="96.7"/>
    <n v="93.5"/>
    <x v="1"/>
  </r>
  <r>
    <x v="5"/>
    <x v="15"/>
    <s v="Thorax2"/>
    <x v="14"/>
    <x v="0"/>
    <x v="0"/>
    <x v="1"/>
    <x v="1"/>
    <n v="99.6"/>
    <n v="99.1"/>
    <n v="99.8"/>
    <x v="0"/>
  </r>
  <r>
    <x v="8"/>
    <x v="16"/>
    <s v="Thorax"/>
    <x v="0"/>
    <x v="0"/>
    <x v="1"/>
    <x v="0"/>
    <x v="0"/>
    <n v="99.7"/>
    <n v="100"/>
    <n v="99.7"/>
    <x v="0"/>
  </r>
  <r>
    <x v="8"/>
    <x v="16"/>
    <s v="Thorax"/>
    <x v="0"/>
    <x v="0"/>
    <x v="1"/>
    <x v="1"/>
    <x v="0"/>
    <n v="100"/>
    <n v="100"/>
    <n v="100"/>
    <x v="0"/>
  </r>
  <r>
    <x v="11"/>
    <x v="17"/>
    <s v="Thorax1"/>
    <x v="0"/>
    <x v="0"/>
    <x v="0"/>
    <x v="0"/>
    <x v="0"/>
    <n v="99.6"/>
    <n v="99.6"/>
    <n v="99.8"/>
    <x v="1"/>
  </r>
  <r>
    <x v="12"/>
    <x v="17"/>
    <s v="Thorax1"/>
    <x v="0"/>
    <x v="0"/>
    <x v="0"/>
    <x v="1"/>
    <x v="0"/>
    <n v="99.2"/>
    <n v="98.5"/>
    <n v="99.2"/>
    <x v="1"/>
  </r>
  <r>
    <x v="9"/>
    <x v="18"/>
    <s v="Thorax"/>
    <x v="0"/>
    <x v="0"/>
    <x v="0"/>
    <x v="0"/>
    <x v="0"/>
    <n v="100"/>
    <n v="99.3"/>
    <n v="99.7"/>
    <x v="1"/>
  </r>
  <r>
    <x v="13"/>
    <x v="17"/>
    <s v="Thorax1"/>
    <x v="16"/>
    <x v="0"/>
    <x v="0"/>
    <x v="0"/>
    <x v="0"/>
    <n v="99.9"/>
    <n v="99.8"/>
    <n v="99.8"/>
    <x v="0"/>
  </r>
  <r>
    <x v="13"/>
    <x v="17"/>
    <s v="Thorax1"/>
    <x v="16"/>
    <x v="0"/>
    <x v="0"/>
    <x v="1"/>
    <x v="1"/>
    <n v="96.2"/>
    <n v="98.5"/>
    <n v="96.5"/>
    <x v="0"/>
  </r>
  <r>
    <x v="13"/>
    <x v="19"/>
    <s v="VMAT Rectum"/>
    <x v="4"/>
    <x v="1"/>
    <x v="0"/>
    <x v="0"/>
    <x v="0"/>
    <n v="99.5"/>
    <n v="98.9"/>
    <n v="98.9"/>
    <x v="0"/>
  </r>
  <r>
    <x v="13"/>
    <x v="19"/>
    <s v="VMAT Rectum"/>
    <x v="4"/>
    <x v="1"/>
    <x v="0"/>
    <x v="1"/>
    <x v="1"/>
    <n v="98.7"/>
    <n v="95.6"/>
    <n v="94.2"/>
    <x v="0"/>
  </r>
  <r>
    <x v="13"/>
    <x v="19"/>
    <s v="VMAT Rectum"/>
    <x v="17"/>
    <x v="1"/>
    <x v="0"/>
    <x v="0"/>
    <x v="0"/>
    <n v="98.6"/>
    <n v="99.9"/>
    <n v="99.1"/>
    <x v="0"/>
  </r>
  <r>
    <x v="13"/>
    <x v="19"/>
    <s v="VMAT Rectum"/>
    <x v="17"/>
    <x v="1"/>
    <x v="0"/>
    <x v="1"/>
    <x v="1"/>
    <n v="99.6"/>
    <n v="96"/>
    <n v="96.2"/>
    <x v="0"/>
  </r>
  <r>
    <x v="14"/>
    <x v="20"/>
    <s v="Pelvis"/>
    <x v="18"/>
    <x v="7"/>
    <x v="0"/>
    <x v="0"/>
    <x v="0"/>
    <n v="99.4"/>
    <n v="99.5"/>
    <n v="99.8"/>
    <x v="0"/>
  </r>
  <r>
    <x v="14"/>
    <x v="20"/>
    <s v="Pelvis"/>
    <x v="18"/>
    <x v="7"/>
    <x v="0"/>
    <x v="1"/>
    <x v="1"/>
    <n v="94.3"/>
    <n v="91.5"/>
    <n v="89"/>
    <x v="0"/>
  </r>
  <r>
    <x v="14"/>
    <x v="20"/>
    <s v="Pelvis"/>
    <x v="19"/>
    <x v="7"/>
    <x v="0"/>
    <x v="0"/>
    <x v="0"/>
    <n v="96.4"/>
    <n v="99.7"/>
    <n v="93.8"/>
    <x v="0"/>
  </r>
  <r>
    <x v="14"/>
    <x v="20"/>
    <s v="Pelvis"/>
    <x v="19"/>
    <x v="7"/>
    <x v="0"/>
    <x v="1"/>
    <x v="1"/>
    <n v="96.9"/>
    <n v="85"/>
    <n v="89.3"/>
    <x v="0"/>
  </r>
  <r>
    <x v="15"/>
    <x v="21"/>
    <s v="Pelvis"/>
    <x v="20"/>
    <x v="8"/>
    <x v="0"/>
    <x v="0"/>
    <x v="0"/>
    <n v="99.1"/>
    <n v="99.7"/>
    <n v="98.9"/>
    <x v="0"/>
  </r>
  <r>
    <x v="15"/>
    <x v="21"/>
    <s v="Pelvis"/>
    <x v="20"/>
    <x v="8"/>
    <x v="0"/>
    <x v="1"/>
    <x v="1"/>
    <n v="96.2"/>
    <n v="96.2"/>
    <n v="91.3"/>
    <x v="0"/>
  </r>
  <r>
    <x v="15"/>
    <x v="22"/>
    <s v="Pelvis"/>
    <x v="20"/>
    <x v="8"/>
    <x v="0"/>
    <x v="0"/>
    <x v="0"/>
    <n v="99.9"/>
    <n v="99.7"/>
    <n v="99.8"/>
    <x v="0"/>
  </r>
  <r>
    <x v="15"/>
    <x v="22"/>
    <s v="Pelvis"/>
    <x v="20"/>
    <x v="8"/>
    <x v="0"/>
    <x v="1"/>
    <x v="1"/>
    <n v="98.1"/>
    <n v="96.8"/>
    <n v="92.7"/>
    <x v="0"/>
  </r>
  <r>
    <x v="16"/>
    <x v="23"/>
    <s v="Pelvis"/>
    <x v="21"/>
    <x v="9"/>
    <x v="0"/>
    <x v="0"/>
    <x v="0"/>
    <n v="99.8"/>
    <n v="99.7"/>
    <n v="98.7"/>
    <x v="0"/>
  </r>
  <r>
    <x v="16"/>
    <x v="23"/>
    <s v="Pelvis"/>
    <x v="21"/>
    <x v="9"/>
    <x v="0"/>
    <x v="0"/>
    <x v="1"/>
    <n v="99.1"/>
    <n v="99.5"/>
    <n v="98.4"/>
    <x v="0"/>
  </r>
  <r>
    <x v="16"/>
    <x v="23"/>
    <s v="Pelvis"/>
    <x v="21"/>
    <x v="9"/>
    <x v="0"/>
    <x v="1"/>
    <x v="1"/>
    <n v="91.5"/>
    <n v="92"/>
    <n v="73.599999999999994"/>
    <x v="0"/>
  </r>
  <r>
    <x v="17"/>
    <x v="24"/>
    <s v="Thorax"/>
    <x v="0"/>
    <x v="0"/>
    <x v="0"/>
    <x v="0"/>
    <x v="0"/>
    <n v="99.4"/>
    <n v="99.4"/>
    <n v="99.5"/>
    <x v="0"/>
  </r>
  <r>
    <x v="17"/>
    <x v="24"/>
    <s v="Thorax"/>
    <x v="0"/>
    <x v="0"/>
    <x v="0"/>
    <x v="1"/>
    <x v="1"/>
    <n v="99.6"/>
    <n v="99.6"/>
    <n v="98.8"/>
    <x v="0"/>
  </r>
  <r>
    <x v="17"/>
    <x v="25"/>
    <s v="Thorax"/>
    <x v="0"/>
    <x v="0"/>
    <x v="1"/>
    <x v="0"/>
    <x v="0"/>
    <n v="100"/>
    <n v="99.7"/>
    <n v="99.7"/>
    <x v="0"/>
  </r>
  <r>
    <x v="17"/>
    <x v="25"/>
    <s v="Thorax"/>
    <x v="0"/>
    <x v="0"/>
    <x v="1"/>
    <x v="1"/>
    <x v="1"/>
    <n v="100"/>
    <n v="99.7"/>
    <n v="99.7"/>
    <x v="0"/>
  </r>
  <r>
    <x v="17"/>
    <x v="26"/>
    <s v="R Lung"/>
    <x v="9"/>
    <x v="0"/>
    <x v="0"/>
    <x v="0"/>
    <x v="0"/>
    <n v="100"/>
    <n v="99.7"/>
    <n v="99.7"/>
    <x v="0"/>
  </r>
  <r>
    <x v="17"/>
    <x v="26"/>
    <s v="R Lung"/>
    <x v="9"/>
    <x v="0"/>
    <x v="0"/>
    <x v="1"/>
    <x v="1"/>
    <n v="99.8"/>
    <n v="100"/>
    <n v="99.4"/>
    <x v="0"/>
  </r>
  <r>
    <x v="17"/>
    <x v="27"/>
    <s v="Thorax"/>
    <x v="13"/>
    <x v="5"/>
    <x v="0"/>
    <x v="0"/>
    <x v="0"/>
    <n v="99.1"/>
    <n v="99.7"/>
    <n v="99.7"/>
    <x v="0"/>
  </r>
  <r>
    <x v="17"/>
    <x v="27"/>
    <s v="Thorax"/>
    <x v="13"/>
    <x v="5"/>
    <x v="0"/>
    <x v="1"/>
    <x v="1"/>
    <n v="98.4"/>
    <n v="97.1"/>
    <n v="99.1"/>
    <x v="0"/>
  </r>
  <r>
    <x v="17"/>
    <x v="28"/>
    <s v="Pelvis"/>
    <x v="3"/>
    <x v="1"/>
    <x v="0"/>
    <x v="0"/>
    <x v="0"/>
    <n v="99.9"/>
    <n v="99.6"/>
    <n v="99.8"/>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Avg_GPR" cacheId="12" dataPosition="0" applyNumberFormats="0" applyBorderFormats="0" applyFontFormats="0" applyPatternFormats="0" applyAlignmentFormats="0" applyWidthHeightFormats="1" dataCaption="Values" grandTotalCaption="Overall Average" updatedVersion="6" minRefreshableVersion="3" useAutoFormatting="1" itemPrintTitles="1" createdVersion="6" indent="0" outline="1" outlineData="1" multipleFieldFilters="0" chartFormat="2" rowHeaderCaption="_">
  <location ref="U14:X27" firstHeaderRow="0" firstDataRow="1" firstDataCol="1"/>
  <pivotFields count="12">
    <pivotField multipleItemSelectionAllowed="1" showAll="0">
      <items count="19">
        <item x="10"/>
        <item x="7"/>
        <item x="3"/>
        <item x="9"/>
        <item x="11"/>
        <item x="6"/>
        <item x="12"/>
        <item x="8"/>
        <item x="4"/>
        <item x="2"/>
        <item x="1"/>
        <item x="0"/>
        <item x="5"/>
        <item x="13"/>
        <item x="14"/>
        <item x="15"/>
        <item x="16"/>
        <item x="17"/>
        <item t="default"/>
      </items>
    </pivotField>
    <pivotField multipleItemSelectionAllowed="1" showAll="0">
      <items count="30">
        <item x="5"/>
        <item x="8"/>
        <item x="6"/>
        <item x="26"/>
        <item x="18"/>
        <item x="27"/>
        <item x="17"/>
        <item x="12"/>
        <item x="16"/>
        <item x="13"/>
        <item x="3"/>
        <item x="20"/>
        <item x="4"/>
        <item x="19"/>
        <item x="28"/>
        <item x="2"/>
        <item x="25"/>
        <item x="7"/>
        <item x="21"/>
        <item x="24"/>
        <item x="1"/>
        <item x="9"/>
        <item x="23"/>
        <item x="14"/>
        <item x="10"/>
        <item x="0"/>
        <item x="22"/>
        <item x="11"/>
        <item x="15"/>
        <item t="default"/>
      </items>
    </pivotField>
    <pivotField showAll="0"/>
    <pivotField showAll="0">
      <items count="23">
        <item x="16"/>
        <item x="10"/>
        <item x="11"/>
        <item x="12"/>
        <item x="20"/>
        <item x="13"/>
        <item x="14"/>
        <item x="15"/>
        <item x="19"/>
        <item x="18"/>
        <item x="0"/>
        <item x="6"/>
        <item x="7"/>
        <item x="3"/>
        <item x="1"/>
        <item x="2"/>
        <item x="21"/>
        <item x="8"/>
        <item x="9"/>
        <item x="5"/>
        <item x="4"/>
        <item x="17"/>
        <item t="default"/>
      </items>
    </pivotField>
    <pivotField showAll="0">
      <items count="11">
        <item x="2"/>
        <item x="3"/>
        <item x="4"/>
        <item x="8"/>
        <item x="5"/>
        <item x="0"/>
        <item x="6"/>
        <item x="7"/>
        <item x="1"/>
        <item x="9"/>
        <item t="default"/>
      </items>
    </pivotField>
    <pivotField showAll="0">
      <items count="3">
        <item x="1"/>
        <item x="0"/>
        <item t="default"/>
      </items>
    </pivotField>
    <pivotField axis="axisRow" showAll="0">
      <items count="3">
        <item x="0"/>
        <item x="1"/>
        <item t="default"/>
      </items>
    </pivotField>
    <pivotField axis="axisRow" showAll="0">
      <items count="4">
        <item m="1" x="2"/>
        <item x="1"/>
        <item x="0"/>
        <item t="default"/>
      </items>
    </pivotField>
    <pivotField dataField="1" showAll="0"/>
    <pivotField dataField="1" showAll="0"/>
    <pivotField dataField="1" showAll="0"/>
    <pivotField axis="axisRow" showAll="0" sortType="descending" defaultSubtotal="0">
      <items count="3">
        <item x="1"/>
        <item x="0"/>
        <item h="1" m="1" x="2"/>
      </items>
    </pivotField>
  </pivotFields>
  <rowFields count="3">
    <field x="6"/>
    <field x="7"/>
    <field x="11"/>
  </rowFields>
  <rowItems count="13">
    <i>
      <x/>
    </i>
    <i r="1">
      <x v="1"/>
    </i>
    <i r="2">
      <x v="1"/>
    </i>
    <i r="1">
      <x v="2"/>
    </i>
    <i r="2">
      <x/>
    </i>
    <i r="2">
      <x v="1"/>
    </i>
    <i>
      <x v="1"/>
    </i>
    <i r="1">
      <x v="1"/>
    </i>
    <i r="2">
      <x v="1"/>
    </i>
    <i r="1">
      <x v="2"/>
    </i>
    <i r="2">
      <x/>
    </i>
    <i r="2">
      <x v="1"/>
    </i>
    <i t="grand">
      <x/>
    </i>
  </rowItems>
  <colFields count="1">
    <field x="-2"/>
  </colFields>
  <colItems count="3">
    <i>
      <x/>
    </i>
    <i i="1">
      <x v="1"/>
    </i>
    <i i="2">
      <x v="2"/>
    </i>
  </colItems>
  <dataFields count="3">
    <dataField name="Beam 1" fld="8" subtotal="average" baseField="11" baseItem="0" numFmtId="164"/>
    <dataField name="Beam 2" fld="9" subtotal="average" baseField="11" baseItem="1" numFmtId="164"/>
    <dataField name="Plan_" fld="10" subtotal="average" baseField="11" baseItem="1" numFmtId="164"/>
  </dataFields>
  <formats count="82">
    <format dxfId="81">
      <pivotArea type="all" dataOnly="0" outline="0" fieldPosition="0"/>
    </format>
    <format dxfId="80">
      <pivotArea outline="0" collapsedLevelsAreSubtotals="1" fieldPosition="0"/>
    </format>
    <format dxfId="79">
      <pivotArea field="6" type="button" dataOnly="0" labelOnly="1" outline="0" axis="axisRow" fieldPosition="0"/>
    </format>
    <format dxfId="78">
      <pivotArea dataOnly="0" labelOnly="1" fieldPosition="0">
        <references count="1">
          <reference field="6" count="0"/>
        </references>
      </pivotArea>
    </format>
    <format dxfId="77">
      <pivotArea dataOnly="0" labelOnly="1" grandRow="1" outline="0" fieldPosition="0"/>
    </format>
    <format dxfId="76">
      <pivotArea dataOnly="0" labelOnly="1" fieldPosition="0">
        <references count="2">
          <reference field="6" count="1" selected="0">
            <x v="0"/>
          </reference>
          <reference field="7" count="1">
            <x v="2"/>
          </reference>
        </references>
      </pivotArea>
    </format>
    <format dxfId="75">
      <pivotArea dataOnly="0" labelOnly="1" fieldPosition="0">
        <references count="2">
          <reference field="6" count="1" selected="0">
            <x v="1"/>
          </reference>
          <reference field="7" count="2">
            <x v="1"/>
            <x v="2"/>
          </reference>
        </references>
      </pivotArea>
    </format>
    <format dxfId="74">
      <pivotArea dataOnly="0" labelOnly="1" fieldPosition="0">
        <references count="3">
          <reference field="6" count="1" selected="0">
            <x v="0"/>
          </reference>
          <reference field="7" count="1" selected="0">
            <x v="2"/>
          </reference>
          <reference field="11" count="0"/>
        </references>
      </pivotArea>
    </format>
    <format dxfId="73">
      <pivotArea dataOnly="0" labelOnly="1" fieldPosition="0">
        <references count="3">
          <reference field="6" count="1" selected="0">
            <x v="1"/>
          </reference>
          <reference field="7" count="1" selected="0">
            <x v="1"/>
          </reference>
          <reference field="11" count="1">
            <x v="1"/>
          </reference>
        </references>
      </pivotArea>
    </format>
    <format dxfId="72">
      <pivotArea dataOnly="0" labelOnly="1" fieldPosition="0">
        <references count="3">
          <reference field="6" count="1" selected="0">
            <x v="1"/>
          </reference>
          <reference field="7" count="1" selected="0">
            <x v="2"/>
          </reference>
          <reference field="11" count="0"/>
        </references>
      </pivotArea>
    </format>
    <format dxfId="71">
      <pivotArea dataOnly="0" labelOnly="1" outline="0" fieldPosition="0">
        <references count="1">
          <reference field="4294967294" count="3">
            <x v="0"/>
            <x v="1"/>
            <x v="2"/>
          </reference>
        </references>
      </pivotArea>
    </format>
    <format dxfId="70">
      <pivotArea type="all" dataOnly="0" outline="0" fieldPosition="0"/>
    </format>
    <format dxfId="69">
      <pivotArea outline="0" collapsedLevelsAreSubtotals="1" fieldPosition="0"/>
    </format>
    <format dxfId="68">
      <pivotArea field="6" type="button" dataOnly="0" labelOnly="1" outline="0" axis="axisRow" fieldPosition="0"/>
    </format>
    <format dxfId="67">
      <pivotArea dataOnly="0" labelOnly="1" fieldPosition="0">
        <references count="1">
          <reference field="6" count="0"/>
        </references>
      </pivotArea>
    </format>
    <format dxfId="66">
      <pivotArea dataOnly="0" labelOnly="1" grandRow="1" outline="0" fieldPosition="0"/>
    </format>
    <format dxfId="65">
      <pivotArea dataOnly="0" labelOnly="1" fieldPosition="0">
        <references count="2">
          <reference field="6" count="1" selected="0">
            <x v="0"/>
          </reference>
          <reference field="7" count="1">
            <x v="2"/>
          </reference>
        </references>
      </pivotArea>
    </format>
    <format dxfId="64">
      <pivotArea dataOnly="0" labelOnly="1" fieldPosition="0">
        <references count="2">
          <reference field="6" count="1" selected="0">
            <x v="1"/>
          </reference>
          <reference field="7" count="2">
            <x v="1"/>
            <x v="2"/>
          </reference>
        </references>
      </pivotArea>
    </format>
    <format dxfId="63">
      <pivotArea dataOnly="0" labelOnly="1" fieldPosition="0">
        <references count="3">
          <reference field="6" count="1" selected="0">
            <x v="0"/>
          </reference>
          <reference field="7" count="1" selected="0">
            <x v="2"/>
          </reference>
          <reference field="11" count="0"/>
        </references>
      </pivotArea>
    </format>
    <format dxfId="62">
      <pivotArea dataOnly="0" labelOnly="1" fieldPosition="0">
        <references count="3">
          <reference field="6" count="1" selected="0">
            <x v="1"/>
          </reference>
          <reference field="7" count="1" selected="0">
            <x v="1"/>
          </reference>
          <reference field="11" count="1">
            <x v="1"/>
          </reference>
        </references>
      </pivotArea>
    </format>
    <format dxfId="61">
      <pivotArea dataOnly="0" labelOnly="1" fieldPosition="0">
        <references count="3">
          <reference field="6" count="1" selected="0">
            <x v="1"/>
          </reference>
          <reference field="7" count="1" selected="0">
            <x v="2"/>
          </reference>
          <reference field="11" count="0"/>
        </references>
      </pivotArea>
    </format>
    <format dxfId="60">
      <pivotArea dataOnly="0" labelOnly="1" outline="0" fieldPosition="0">
        <references count="1">
          <reference field="4294967294" count="3">
            <x v="0"/>
            <x v="1"/>
            <x v="2"/>
          </reference>
        </references>
      </pivotArea>
    </format>
    <format dxfId="59">
      <pivotArea type="all" dataOnly="0" outline="0" fieldPosition="0"/>
    </format>
    <format dxfId="58">
      <pivotArea outline="0" collapsedLevelsAreSubtotals="1" fieldPosition="0"/>
    </format>
    <format dxfId="57">
      <pivotArea field="6" type="button" dataOnly="0" labelOnly="1" outline="0" axis="axisRow" fieldPosition="0"/>
    </format>
    <format dxfId="56">
      <pivotArea dataOnly="0" labelOnly="1" fieldPosition="0">
        <references count="1">
          <reference field="6" count="0"/>
        </references>
      </pivotArea>
    </format>
    <format dxfId="55">
      <pivotArea dataOnly="0" labelOnly="1" grandRow="1" outline="0" fieldPosition="0"/>
    </format>
    <format dxfId="54">
      <pivotArea dataOnly="0" labelOnly="1" fieldPosition="0">
        <references count="2">
          <reference field="6" count="1" selected="0">
            <x v="0"/>
          </reference>
          <reference field="7" count="1">
            <x v="2"/>
          </reference>
        </references>
      </pivotArea>
    </format>
    <format dxfId="53">
      <pivotArea dataOnly="0" labelOnly="1" fieldPosition="0">
        <references count="2">
          <reference field="6" count="1" selected="0">
            <x v="1"/>
          </reference>
          <reference field="7" count="2">
            <x v="1"/>
            <x v="2"/>
          </reference>
        </references>
      </pivotArea>
    </format>
    <format dxfId="52">
      <pivotArea dataOnly="0" labelOnly="1" fieldPosition="0">
        <references count="3">
          <reference field="6" count="1" selected="0">
            <x v="0"/>
          </reference>
          <reference field="7" count="1" selected="0">
            <x v="2"/>
          </reference>
          <reference field="11" count="0"/>
        </references>
      </pivotArea>
    </format>
    <format dxfId="51">
      <pivotArea dataOnly="0" labelOnly="1" fieldPosition="0">
        <references count="3">
          <reference field="6" count="1" selected="0">
            <x v="1"/>
          </reference>
          <reference field="7" count="1" selected="0">
            <x v="1"/>
          </reference>
          <reference field="11" count="1">
            <x v="1"/>
          </reference>
        </references>
      </pivotArea>
    </format>
    <format dxfId="50">
      <pivotArea dataOnly="0" labelOnly="1" fieldPosition="0">
        <references count="3">
          <reference field="6" count="1" selected="0">
            <x v="1"/>
          </reference>
          <reference field="7" count="1" selected="0">
            <x v="2"/>
          </reference>
          <reference field="11" count="0"/>
        </references>
      </pivotArea>
    </format>
    <format dxfId="49">
      <pivotArea dataOnly="0" labelOnly="1" outline="0" fieldPosition="0">
        <references count="1">
          <reference field="4294967294" count="3">
            <x v="0"/>
            <x v="1"/>
            <x v="2"/>
          </reference>
        </references>
      </pivotArea>
    </format>
    <format dxfId="48">
      <pivotArea type="all" dataOnly="0" outline="0" fieldPosition="0"/>
    </format>
    <format dxfId="47">
      <pivotArea outline="0" collapsedLevelsAreSubtotals="1" fieldPosition="0"/>
    </format>
    <format dxfId="46">
      <pivotArea field="6" type="button" dataOnly="0" labelOnly="1" outline="0" axis="axisRow" fieldPosition="0"/>
    </format>
    <format dxfId="45">
      <pivotArea dataOnly="0" labelOnly="1" fieldPosition="0">
        <references count="1">
          <reference field="6" count="0"/>
        </references>
      </pivotArea>
    </format>
    <format dxfId="44">
      <pivotArea dataOnly="0" labelOnly="1" grandRow="1" outline="0" fieldPosition="0"/>
    </format>
    <format dxfId="43">
      <pivotArea dataOnly="0" labelOnly="1" fieldPosition="0">
        <references count="2">
          <reference field="6" count="1" selected="0">
            <x v="0"/>
          </reference>
          <reference field="7" count="1">
            <x v="2"/>
          </reference>
        </references>
      </pivotArea>
    </format>
    <format dxfId="42">
      <pivotArea dataOnly="0" labelOnly="1" fieldPosition="0">
        <references count="2">
          <reference field="6" count="1" selected="0">
            <x v="1"/>
          </reference>
          <reference field="7" count="2">
            <x v="1"/>
            <x v="2"/>
          </reference>
        </references>
      </pivotArea>
    </format>
    <format dxfId="41">
      <pivotArea dataOnly="0" labelOnly="1" fieldPosition="0">
        <references count="3">
          <reference field="6" count="1" selected="0">
            <x v="0"/>
          </reference>
          <reference field="7" count="1" selected="0">
            <x v="2"/>
          </reference>
          <reference field="11" count="0"/>
        </references>
      </pivotArea>
    </format>
    <format dxfId="40">
      <pivotArea dataOnly="0" labelOnly="1" fieldPosition="0">
        <references count="3">
          <reference field="6" count="1" selected="0">
            <x v="1"/>
          </reference>
          <reference field="7" count="1" selected="0">
            <x v="1"/>
          </reference>
          <reference field="11" count="1">
            <x v="1"/>
          </reference>
        </references>
      </pivotArea>
    </format>
    <format dxfId="39">
      <pivotArea dataOnly="0" labelOnly="1" fieldPosition="0">
        <references count="3">
          <reference field="6" count="1" selected="0">
            <x v="1"/>
          </reference>
          <reference field="7" count="1" selected="0">
            <x v="2"/>
          </reference>
          <reference field="11" count="0"/>
        </references>
      </pivotArea>
    </format>
    <format dxfId="38">
      <pivotArea dataOnly="0" labelOnly="1" outline="0" fieldPosition="0">
        <references count="1">
          <reference field="4294967294" count="3">
            <x v="0"/>
            <x v="1"/>
            <x v="2"/>
          </reference>
        </references>
      </pivotArea>
    </format>
    <format dxfId="37">
      <pivotArea outline="0" fieldPosition="0">
        <references count="1">
          <reference field="4294967294" count="1">
            <x v="0"/>
          </reference>
        </references>
      </pivotArea>
    </format>
    <format dxfId="36">
      <pivotArea outline="0" fieldPosition="0">
        <references count="1">
          <reference field="4294967294" count="1">
            <x v="0"/>
          </reference>
        </references>
      </pivotArea>
    </format>
    <format dxfId="35">
      <pivotArea outline="0" fieldPosition="0">
        <references count="1">
          <reference field="4294967294" count="1">
            <x v="1"/>
          </reference>
        </references>
      </pivotArea>
    </format>
    <format dxfId="34">
      <pivotArea outline="0" fieldPosition="0">
        <references count="1">
          <reference field="4294967294" count="1">
            <x v="2"/>
          </reference>
        </references>
      </pivotArea>
    </format>
    <format dxfId="33">
      <pivotArea type="all" dataOnly="0" outline="0" fieldPosition="0"/>
    </format>
    <format dxfId="32">
      <pivotArea outline="0" collapsedLevelsAreSubtotals="1" fieldPosition="0"/>
    </format>
    <format dxfId="31">
      <pivotArea field="6" type="button" dataOnly="0" labelOnly="1" outline="0" axis="axisRow" fieldPosition="0"/>
    </format>
    <format dxfId="30">
      <pivotArea dataOnly="0" labelOnly="1" fieldPosition="0">
        <references count="1">
          <reference field="6" count="0"/>
        </references>
      </pivotArea>
    </format>
    <format dxfId="29">
      <pivotArea dataOnly="0" labelOnly="1" grandRow="1" outline="0" fieldPosition="0"/>
    </format>
    <format dxfId="28">
      <pivotArea dataOnly="0" labelOnly="1" fieldPosition="0">
        <references count="2">
          <reference field="6" count="1" selected="0">
            <x v="0"/>
          </reference>
          <reference field="7" count="1">
            <x v="2"/>
          </reference>
        </references>
      </pivotArea>
    </format>
    <format dxfId="27">
      <pivotArea dataOnly="0" labelOnly="1" fieldPosition="0">
        <references count="2">
          <reference field="6" count="1" selected="0">
            <x v="1"/>
          </reference>
          <reference field="7" count="2">
            <x v="1"/>
            <x v="2"/>
          </reference>
        </references>
      </pivotArea>
    </format>
    <format dxfId="26">
      <pivotArea dataOnly="0" labelOnly="1" fieldPosition="0">
        <references count="3">
          <reference field="6" count="1" selected="0">
            <x v="0"/>
          </reference>
          <reference field="7" count="1" selected="0">
            <x v="2"/>
          </reference>
          <reference field="11" count="0"/>
        </references>
      </pivotArea>
    </format>
    <format dxfId="25">
      <pivotArea dataOnly="0" labelOnly="1" fieldPosition="0">
        <references count="3">
          <reference field="6" count="1" selected="0">
            <x v="1"/>
          </reference>
          <reference field="7" count="1" selected="0">
            <x v="1"/>
          </reference>
          <reference field="11" count="1">
            <x v="1"/>
          </reference>
        </references>
      </pivotArea>
    </format>
    <format dxfId="24">
      <pivotArea dataOnly="0" labelOnly="1" fieldPosition="0">
        <references count="3">
          <reference field="6" count="1" selected="0">
            <x v="1"/>
          </reference>
          <reference field="7" count="1" selected="0">
            <x v="2"/>
          </reference>
          <reference field="11" count="1">
            <x v="1"/>
          </reference>
        </references>
      </pivotArea>
    </format>
    <format dxfId="23">
      <pivotArea dataOnly="0" labelOnly="1" outline="0" fieldPosition="0">
        <references count="1">
          <reference field="4294967294" count="3">
            <x v="0"/>
            <x v="1"/>
            <x v="2"/>
          </reference>
        </references>
      </pivotArea>
    </format>
    <format dxfId="22">
      <pivotArea type="all" dataOnly="0" outline="0" fieldPosition="0"/>
    </format>
    <format dxfId="21">
      <pivotArea outline="0" collapsedLevelsAreSubtotals="1" fieldPosition="0"/>
    </format>
    <format dxfId="20">
      <pivotArea field="6" type="button" dataOnly="0" labelOnly="1" outline="0" axis="axisRow" fieldPosition="0"/>
    </format>
    <format dxfId="19">
      <pivotArea dataOnly="0" labelOnly="1" fieldPosition="0">
        <references count="1">
          <reference field="6" count="0"/>
        </references>
      </pivotArea>
    </format>
    <format dxfId="18">
      <pivotArea dataOnly="0" labelOnly="1" grandRow="1" outline="0" fieldPosition="0"/>
    </format>
    <format dxfId="17">
      <pivotArea dataOnly="0" labelOnly="1" fieldPosition="0">
        <references count="2">
          <reference field="6" count="1" selected="0">
            <x v="0"/>
          </reference>
          <reference field="7" count="1">
            <x v="2"/>
          </reference>
        </references>
      </pivotArea>
    </format>
    <format dxfId="16">
      <pivotArea dataOnly="0" labelOnly="1" fieldPosition="0">
        <references count="2">
          <reference field="6" count="1" selected="0">
            <x v="1"/>
          </reference>
          <reference field="7" count="2">
            <x v="1"/>
            <x v="2"/>
          </reference>
        </references>
      </pivotArea>
    </format>
    <format dxfId="15">
      <pivotArea dataOnly="0" labelOnly="1" fieldPosition="0">
        <references count="3">
          <reference field="6" count="1" selected="0">
            <x v="0"/>
          </reference>
          <reference field="7" count="1" selected="0">
            <x v="2"/>
          </reference>
          <reference field="11" count="0"/>
        </references>
      </pivotArea>
    </format>
    <format dxfId="14">
      <pivotArea dataOnly="0" labelOnly="1" fieldPosition="0">
        <references count="3">
          <reference field="6" count="1" selected="0">
            <x v="1"/>
          </reference>
          <reference field="7" count="1" selected="0">
            <x v="1"/>
          </reference>
          <reference field="11" count="1">
            <x v="1"/>
          </reference>
        </references>
      </pivotArea>
    </format>
    <format dxfId="13">
      <pivotArea dataOnly="0" labelOnly="1" fieldPosition="0">
        <references count="3">
          <reference field="6" count="1" selected="0">
            <x v="1"/>
          </reference>
          <reference field="7" count="1" selected="0">
            <x v="2"/>
          </reference>
          <reference field="11" count="1">
            <x v="1"/>
          </reference>
        </references>
      </pivotArea>
    </format>
    <format dxfId="12">
      <pivotArea dataOnly="0" labelOnly="1" outline="0" fieldPosition="0">
        <references count="1">
          <reference field="4294967294" count="3">
            <x v="0"/>
            <x v="1"/>
            <x v="2"/>
          </reference>
        </references>
      </pivotArea>
    </format>
    <format dxfId="11">
      <pivotArea type="all" dataOnly="0" outline="0" fieldPosition="0"/>
    </format>
    <format dxfId="10">
      <pivotArea outline="0" collapsedLevelsAreSubtotals="1" fieldPosition="0"/>
    </format>
    <format dxfId="9">
      <pivotArea field="6" type="button" dataOnly="0" labelOnly="1" outline="0" axis="axisRow" fieldPosition="0"/>
    </format>
    <format dxfId="8">
      <pivotArea dataOnly="0" labelOnly="1" fieldPosition="0">
        <references count="1">
          <reference field="6" count="0"/>
        </references>
      </pivotArea>
    </format>
    <format dxfId="7">
      <pivotArea dataOnly="0" labelOnly="1" grandRow="1" outline="0" fieldPosition="0"/>
    </format>
    <format dxfId="6">
      <pivotArea dataOnly="0" labelOnly="1" fieldPosition="0">
        <references count="2">
          <reference field="6" count="1" selected="0">
            <x v="0"/>
          </reference>
          <reference field="7" count="2">
            <x v="0"/>
            <x v="2"/>
          </reference>
        </references>
      </pivotArea>
    </format>
    <format dxfId="5">
      <pivotArea dataOnly="0" labelOnly="1" fieldPosition="0">
        <references count="2">
          <reference field="6" count="1" selected="0">
            <x v="1"/>
          </reference>
          <reference field="7" count="2">
            <x v="1"/>
            <x v="2"/>
          </reference>
        </references>
      </pivotArea>
    </format>
    <format dxfId="4">
      <pivotArea dataOnly="0" labelOnly="1" fieldPosition="0">
        <references count="3">
          <reference field="6" count="1" selected="0">
            <x v="0"/>
          </reference>
          <reference field="7" count="1" selected="0">
            <x v="0"/>
          </reference>
          <reference field="11" count="1">
            <x v="2"/>
          </reference>
        </references>
      </pivotArea>
    </format>
    <format dxfId="3">
      <pivotArea dataOnly="0" labelOnly="1" fieldPosition="0">
        <references count="3">
          <reference field="6" count="1" selected="0">
            <x v="0"/>
          </reference>
          <reference field="7" count="1" selected="0">
            <x v="2"/>
          </reference>
          <reference field="11" count="0"/>
        </references>
      </pivotArea>
    </format>
    <format dxfId="2">
      <pivotArea dataOnly="0" labelOnly="1" fieldPosition="0">
        <references count="3">
          <reference field="6" count="1" selected="0">
            <x v="1"/>
          </reference>
          <reference field="7" count="1" selected="0">
            <x v="1"/>
          </reference>
          <reference field="11" count="2">
            <x v="1"/>
            <x v="2"/>
          </reference>
        </references>
      </pivotArea>
    </format>
    <format dxfId="1">
      <pivotArea dataOnly="0" labelOnly="1" fieldPosition="0">
        <references count="3">
          <reference field="6" count="1" selected="0">
            <x v="1"/>
          </reference>
          <reference field="7" count="1" selected="0">
            <x v="2"/>
          </reference>
          <reference field="11" count="0"/>
        </references>
      </pivotArea>
    </format>
    <format dxfId="0">
      <pivotArea dataOnly="0" labelOnly="1" outline="0" fieldPosition="0">
        <references count="1">
          <reference field="4294967294" count="3">
            <x v="0"/>
            <x v="1"/>
            <x v="2"/>
          </reference>
        </references>
      </pivotArea>
    </format>
  </formats>
  <chartFormats count="27">
    <chartFormat chart="1" format="0" series="1">
      <pivotArea type="data" outline="0" fieldPosition="0">
        <references count="3">
          <reference field="4294967294" count="1" selected="0">
            <x v="0"/>
          </reference>
          <reference field="6" count="1" selected="0">
            <x v="0"/>
          </reference>
          <reference field="7" count="1" selected="0">
            <x v="2"/>
          </reference>
        </references>
      </pivotArea>
    </chartFormat>
    <chartFormat chart="1" format="1" series="1">
      <pivotArea type="data" outline="0" fieldPosition="0">
        <references count="3">
          <reference field="4294967294" count="1" selected="0">
            <x v="0"/>
          </reference>
          <reference field="6" count="1" selected="0">
            <x v="1"/>
          </reference>
          <reference field="7" count="1" selected="0">
            <x v="1"/>
          </reference>
        </references>
      </pivotArea>
    </chartFormat>
    <chartFormat chart="1" format="2" series="1">
      <pivotArea type="data" outline="0" fieldPosition="0">
        <references count="3">
          <reference field="4294967294" count="1" selected="0">
            <x v="0"/>
          </reference>
          <reference field="6" count="1" selected="0">
            <x v="1"/>
          </reference>
          <reference field="7" count="1" selected="0">
            <x v="2"/>
          </reference>
        </references>
      </pivotArea>
    </chartFormat>
    <chartFormat chart="1" format="3" series="1">
      <pivotArea type="data" outline="0" fieldPosition="0">
        <references count="3">
          <reference field="4294967294" count="1" selected="0">
            <x v="1"/>
          </reference>
          <reference field="6" count="1" selected="0">
            <x v="0"/>
          </reference>
          <reference field="7" count="1" selected="0">
            <x v="2"/>
          </reference>
        </references>
      </pivotArea>
    </chartFormat>
    <chartFormat chart="1" format="4" series="1">
      <pivotArea type="data" outline="0" fieldPosition="0">
        <references count="3">
          <reference field="4294967294" count="1" selected="0">
            <x v="1"/>
          </reference>
          <reference field="6" count="1" selected="0">
            <x v="1"/>
          </reference>
          <reference field="7" count="1" selected="0">
            <x v="1"/>
          </reference>
        </references>
      </pivotArea>
    </chartFormat>
    <chartFormat chart="1" format="5" series="1">
      <pivotArea type="data" outline="0" fieldPosition="0">
        <references count="3">
          <reference field="4294967294" count="1" selected="0">
            <x v="1"/>
          </reference>
          <reference field="6" count="1" selected="0">
            <x v="1"/>
          </reference>
          <reference field="7" count="1" selected="0">
            <x v="2"/>
          </reference>
        </references>
      </pivotArea>
    </chartFormat>
    <chartFormat chart="1" format="6" series="1">
      <pivotArea type="data" outline="0" fieldPosition="0">
        <references count="3">
          <reference field="4294967294" count="1" selected="0">
            <x v="2"/>
          </reference>
          <reference field="6" count="1" selected="0">
            <x v="0"/>
          </reference>
          <reference field="7" count="1" selected="0">
            <x v="2"/>
          </reference>
        </references>
      </pivotArea>
    </chartFormat>
    <chartFormat chart="1" format="7" series="1">
      <pivotArea type="data" outline="0" fieldPosition="0">
        <references count="3">
          <reference field="4294967294" count="1" selected="0">
            <x v="2"/>
          </reference>
          <reference field="6" count="1" selected="0">
            <x v="1"/>
          </reference>
          <reference field="7" count="1" selected="0">
            <x v="1"/>
          </reference>
        </references>
      </pivotArea>
    </chartFormat>
    <chartFormat chart="1" format="8" series="1">
      <pivotArea type="data" outline="0" fieldPosition="0">
        <references count="3">
          <reference field="4294967294" count="1" selected="0">
            <x v="2"/>
          </reference>
          <reference field="6" count="1" selected="0">
            <x v="1"/>
          </reference>
          <reference field="7" count="1" selected="0">
            <x v="2"/>
          </reference>
        </references>
      </pivotArea>
    </chartFormat>
    <chartFormat chart="1" format="9" series="1">
      <pivotArea type="data" outline="0" fieldPosition="0">
        <references count="3">
          <reference field="4294967294" count="1" selected="0">
            <x v="0"/>
          </reference>
          <reference field="7" count="1" selected="0">
            <x v="1"/>
          </reference>
          <reference field="11" count="1" selected="0">
            <x v="1"/>
          </reference>
        </references>
      </pivotArea>
    </chartFormat>
    <chartFormat chart="1" format="10" series="1">
      <pivotArea type="data" outline="0" fieldPosition="0">
        <references count="3">
          <reference field="4294967294" count="1" selected="0">
            <x v="0"/>
          </reference>
          <reference field="7" count="1" selected="0">
            <x v="2"/>
          </reference>
          <reference field="11" count="1" selected="0">
            <x v="0"/>
          </reference>
        </references>
      </pivotArea>
    </chartFormat>
    <chartFormat chart="1" format="11" series="1">
      <pivotArea type="data" outline="0" fieldPosition="0">
        <references count="3">
          <reference field="4294967294" count="1" selected="0">
            <x v="0"/>
          </reference>
          <reference field="7" count="1" selected="0">
            <x v="2"/>
          </reference>
          <reference field="11" count="1" selected="0">
            <x v="1"/>
          </reference>
        </references>
      </pivotArea>
    </chartFormat>
    <chartFormat chart="1" format="12" series="1">
      <pivotArea type="data" outline="0" fieldPosition="0">
        <references count="3">
          <reference field="4294967294" count="1" selected="0">
            <x v="1"/>
          </reference>
          <reference field="7" count="1" selected="0">
            <x v="1"/>
          </reference>
          <reference field="11" count="1" selected="0">
            <x v="1"/>
          </reference>
        </references>
      </pivotArea>
    </chartFormat>
    <chartFormat chart="1" format="13" series="1">
      <pivotArea type="data" outline="0" fieldPosition="0">
        <references count="3">
          <reference field="4294967294" count="1" selected="0">
            <x v="1"/>
          </reference>
          <reference field="7" count="1" selected="0">
            <x v="2"/>
          </reference>
          <reference field="11" count="1" selected="0">
            <x v="0"/>
          </reference>
        </references>
      </pivotArea>
    </chartFormat>
    <chartFormat chart="1" format="14" series="1">
      <pivotArea type="data" outline="0" fieldPosition="0">
        <references count="3">
          <reference field="4294967294" count="1" selected="0">
            <x v="1"/>
          </reference>
          <reference field="7" count="1" selected="0">
            <x v="2"/>
          </reference>
          <reference field="11" count="1" selected="0">
            <x v="1"/>
          </reference>
        </references>
      </pivotArea>
    </chartFormat>
    <chartFormat chart="1" format="15" series="1">
      <pivotArea type="data" outline="0" fieldPosition="0">
        <references count="3">
          <reference field="4294967294" count="1" selected="0">
            <x v="2"/>
          </reference>
          <reference field="7" count="1" selected="0">
            <x v="1"/>
          </reference>
          <reference field="11" count="1" selected="0">
            <x v="1"/>
          </reference>
        </references>
      </pivotArea>
    </chartFormat>
    <chartFormat chart="1" format="16" series="1">
      <pivotArea type="data" outline="0" fieldPosition="0">
        <references count="3">
          <reference field="4294967294" count="1" selected="0">
            <x v="2"/>
          </reference>
          <reference field="7" count="1" selected="0">
            <x v="2"/>
          </reference>
          <reference field="11" count="1" selected="0">
            <x v="0"/>
          </reference>
        </references>
      </pivotArea>
    </chartFormat>
    <chartFormat chart="1" format="17" series="1">
      <pivotArea type="data" outline="0" fieldPosition="0">
        <references count="3">
          <reference field="4294967294" count="1" selected="0">
            <x v="2"/>
          </reference>
          <reference field="7" count="1" selected="0">
            <x v="2"/>
          </reference>
          <reference field="11" count="1" selected="0">
            <x v="1"/>
          </reference>
        </references>
      </pivotArea>
    </chartFormat>
    <chartFormat chart="1" format="18" series="1">
      <pivotArea type="data" outline="0" fieldPosition="0">
        <references count="2">
          <reference field="4294967294" count="1" selected="0">
            <x v="0"/>
          </reference>
          <reference field="11" count="1" selected="0">
            <x v="0"/>
          </reference>
        </references>
      </pivotArea>
    </chartFormat>
    <chartFormat chart="1" format="19" series="1">
      <pivotArea type="data" outline="0" fieldPosition="0">
        <references count="2">
          <reference field="4294967294" count="1" selected="0">
            <x v="0"/>
          </reference>
          <reference field="11" count="1" selected="0">
            <x v="1"/>
          </reference>
        </references>
      </pivotArea>
    </chartFormat>
    <chartFormat chart="1" format="20" series="1">
      <pivotArea type="data" outline="0" fieldPosition="0">
        <references count="2">
          <reference field="4294967294" count="1" selected="0">
            <x v="1"/>
          </reference>
          <reference field="11" count="1" selected="0">
            <x v="0"/>
          </reference>
        </references>
      </pivotArea>
    </chartFormat>
    <chartFormat chart="1" format="21" series="1">
      <pivotArea type="data" outline="0" fieldPosition="0">
        <references count="2">
          <reference field="4294967294" count="1" selected="0">
            <x v="1"/>
          </reference>
          <reference field="11" count="1" selected="0">
            <x v="1"/>
          </reference>
        </references>
      </pivotArea>
    </chartFormat>
    <chartFormat chart="1" format="22" series="1">
      <pivotArea type="data" outline="0" fieldPosition="0">
        <references count="2">
          <reference field="4294967294" count="1" selected="0">
            <x v="2"/>
          </reference>
          <reference field="11" count="1" selected="0">
            <x v="0"/>
          </reference>
        </references>
      </pivotArea>
    </chartFormat>
    <chartFormat chart="1" format="23" series="1">
      <pivotArea type="data" outline="0" fieldPosition="0">
        <references count="2">
          <reference field="4294967294" count="1" selected="0">
            <x v="2"/>
          </reference>
          <reference field="11" count="1" selected="0">
            <x v="1"/>
          </reference>
        </references>
      </pivotArea>
    </chartFormat>
    <chartFormat chart="1" format="24" series="1">
      <pivotArea type="data" outline="0" fieldPosition="0">
        <references count="1">
          <reference field="4294967294" count="1" selected="0">
            <x v="0"/>
          </reference>
        </references>
      </pivotArea>
    </chartFormat>
    <chartFormat chart="1" format="25" series="1">
      <pivotArea type="data" outline="0" fieldPosition="0">
        <references count="1">
          <reference field="4294967294" count="1" selected="0">
            <x v="1"/>
          </reference>
        </references>
      </pivotArea>
    </chartFormat>
    <chartFormat chart="1" format="2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G34:I35" firstHeaderRow="0" firstDataRow="1" firstDataCol="0"/>
  <pivotFields count="3">
    <pivotField dataField="1" showAll="0"/>
    <pivotField dataField="1" showAll="0"/>
    <pivotField dataField="1" showAll="0"/>
  </pivotFields>
  <rowItems count="1">
    <i/>
  </rowItems>
  <colFields count="1">
    <field x="-2"/>
  </colFields>
  <colItems count="3">
    <i>
      <x/>
    </i>
    <i i="1">
      <x v="1"/>
    </i>
    <i i="2">
      <x v="2"/>
    </i>
  </colItems>
  <dataFields count="3">
    <dataField name="Beam 1" fld="0" subtotal="average" baseField="0" baseItem="1" numFmtId="2"/>
    <dataField name="Beam 2" fld="1" subtotal="average" baseField="0" baseItem="1" numFmtId="2"/>
    <dataField name="Plan" fld="2" subtotal="average" baseField="0" baseItem="1" numFmtId="2"/>
  </dataFields>
  <formats count="11">
    <format dxfId="92">
      <pivotArea type="all" dataOnly="0" outline="0" fieldPosition="0"/>
    </format>
    <format dxfId="91">
      <pivotArea outline="0" collapsedLevelsAreSubtotals="1" fieldPosition="0"/>
    </format>
    <format dxfId="90">
      <pivotArea dataOnly="0" labelOnly="1" outline="0" fieldPosition="0">
        <references count="1">
          <reference field="4294967294" count="3">
            <x v="0"/>
            <x v="1"/>
            <x v="2"/>
          </reference>
        </references>
      </pivotArea>
    </format>
    <format dxfId="89">
      <pivotArea dataOnly="0" labelOnly="1" outline="0" fieldPosition="0">
        <references count="1">
          <reference field="4294967294" count="3">
            <x v="0"/>
            <x v="1"/>
            <x v="2"/>
          </reference>
        </references>
      </pivotArea>
    </format>
    <format dxfId="88">
      <pivotArea dataOnly="0" labelOnly="1" outline="0" fieldPosition="0">
        <references count="1">
          <reference field="4294967294" count="3">
            <x v="0"/>
            <x v="1"/>
            <x v="2"/>
          </reference>
        </references>
      </pivotArea>
    </format>
    <format dxfId="87">
      <pivotArea dataOnly="0" labelOnly="1" outline="0" fieldPosition="0">
        <references count="1">
          <reference field="4294967294" count="3">
            <x v="0"/>
            <x v="1"/>
            <x v="2"/>
          </reference>
        </references>
      </pivotArea>
    </format>
    <format dxfId="86">
      <pivotArea dataOnly="0" labelOnly="1" outline="0" fieldPosition="0">
        <references count="1">
          <reference field="4294967294" count="3">
            <x v="0"/>
            <x v="1"/>
            <x v="2"/>
          </reference>
        </references>
      </pivotArea>
    </format>
    <format dxfId="85">
      <pivotArea dataOnly="0" labelOnly="1" outline="0" fieldPosition="0">
        <references count="1">
          <reference field="4294967294" count="3">
            <x v="0"/>
            <x v="1"/>
            <x v="2"/>
          </reference>
        </references>
      </pivotArea>
    </format>
    <format dxfId="84">
      <pivotArea type="all" dataOnly="0" outline="0" fieldPosition="0"/>
    </format>
    <format dxfId="83">
      <pivotArea outline="0" collapsedLevelsAreSubtotals="1" fieldPosition="0"/>
    </format>
    <format dxfId="82">
      <pivotArea dataOnly="0" labelOnly="1" outline="0" fieldPosition="0">
        <references count="1">
          <reference field="4294967294" count="3">
            <x v="0"/>
            <x v="1"/>
            <x v="2"/>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n"/>
    <pivotHierarchy dragToData="1" caption="Beam 2"/>
    <pivotHierarchy dragToData="1" caption="Beam 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elta4 Absolute Cal PSQA Comparisons.xlsx!Mach_Rad_Dev_Comp">
        <x15:activeTabTopLevelEntity name="[Mach_Rad_Dev_Comp]"/>
      </x15:pivotTableUISettings>
    </ext>
  </extLst>
</pivotTableDefinition>
</file>

<file path=xl/pivotTables/pivotTable3.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B34:D35" firstHeaderRow="0" firstDataRow="1" firstDataCol="0"/>
  <pivotFields count="3">
    <pivotField dataField="1" showAll="0"/>
    <pivotField dataField="1" showAll="0"/>
    <pivotField dataField="1" showAll="0"/>
  </pivotFields>
  <rowItems count="1">
    <i/>
  </rowItems>
  <colFields count="1">
    <field x="-2"/>
  </colFields>
  <colItems count="3">
    <i>
      <x/>
    </i>
    <i i="1">
      <x v="1"/>
    </i>
    <i i="2">
      <x v="2"/>
    </i>
  </colItems>
  <dataFields count="3">
    <dataField name="Beam 1" fld="0" subtotal="average" baseField="0" baseItem="1" numFmtId="2"/>
    <dataField name="Beam 2" fld="1" subtotal="average" baseField="0" baseItem="1" numFmtId="2"/>
    <dataField name="Plan" fld="2" subtotal="average" baseField="0" baseItem="2" numFmtId="2"/>
  </dataFields>
  <formats count="11">
    <format dxfId="103">
      <pivotArea type="all" dataOnly="0" outline="0" fieldPosition="0"/>
    </format>
    <format dxfId="102">
      <pivotArea outline="0" collapsedLevelsAreSubtotals="1" fieldPosition="0"/>
    </format>
    <format dxfId="101">
      <pivotArea dataOnly="0" labelOnly="1" outline="0" fieldPosition="0">
        <references count="1">
          <reference field="4294967294" count="3">
            <x v="0"/>
            <x v="1"/>
            <x v="2"/>
          </reference>
        </references>
      </pivotArea>
    </format>
    <format dxfId="100">
      <pivotArea dataOnly="0" labelOnly="1" outline="0" fieldPosition="0">
        <references count="1">
          <reference field="4294967294" count="3">
            <x v="0"/>
            <x v="1"/>
            <x v="2"/>
          </reference>
        </references>
      </pivotArea>
    </format>
    <format dxfId="99">
      <pivotArea dataOnly="0" labelOnly="1" outline="0" fieldPosition="0">
        <references count="1">
          <reference field="4294967294" count="3">
            <x v="0"/>
            <x v="1"/>
            <x v="2"/>
          </reference>
        </references>
      </pivotArea>
    </format>
    <format dxfId="98">
      <pivotArea dataOnly="0" labelOnly="1" outline="0" fieldPosition="0">
        <references count="1">
          <reference field="4294967294" count="3">
            <x v="0"/>
            <x v="1"/>
            <x v="2"/>
          </reference>
        </references>
      </pivotArea>
    </format>
    <format dxfId="97">
      <pivotArea dataOnly="0" labelOnly="1" outline="0" fieldPosition="0">
        <references count="1">
          <reference field="4294967294" count="3">
            <x v="0"/>
            <x v="1"/>
            <x v="2"/>
          </reference>
        </references>
      </pivotArea>
    </format>
    <format dxfId="96">
      <pivotArea dataOnly="0" labelOnly="1" outline="0" fieldPosition="0">
        <references count="1">
          <reference field="4294967294" count="3">
            <x v="0"/>
            <x v="1"/>
            <x v="2"/>
          </reference>
        </references>
      </pivotArea>
    </format>
    <format dxfId="95">
      <pivotArea type="all" dataOnly="0" outline="0" fieldPosition="0"/>
    </format>
    <format dxfId="94">
      <pivotArea outline="0" collapsedLevelsAreSubtotals="1" fieldPosition="0"/>
    </format>
    <format dxfId="93">
      <pivotArea dataOnly="0" labelOnly="1" outline="0" fieldPosition="0">
        <references count="1">
          <reference field="4294967294" count="3">
            <x v="0"/>
            <x v="1"/>
            <x v="2"/>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Beam 1"/>
    <pivotHierarchy dragToData="1"/>
    <pivotHierarchy dragToData="1"/>
    <pivotHierarchy dragToData="1" caption="Beam 2"/>
    <pivotHierarchy dragToData="1" caption="Plan"/>
    <pivotHierarchy dragToData="1"/>
    <pivotHierarchy dragToData="1"/>
    <pivotHierarchy dragToData="1"/>
    <pivotHierarchy dragToData="1" caption="Average of Plan: E1 ELEKTA - E2 E2"/>
    <pivotHierarchy dragToData="1" caption="Average of Beam 2: E1 ELEKTA - E2 E2"/>
    <pivotHierarchy dragToData="1" caption="Average of Beam 1: E1 ELEKTA - E2 E2"/>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elta4 Absolute Cal PSQA Comparisons.xlsx!Mach_Rad_Dev_Comp">
        <x15:activeTabTopLevelEntity name="[Mach_Rad_Dev_Comp]"/>
      </x15:pivotTableUISettings>
    </ext>
  </extLst>
</pivotTableDefinition>
</file>

<file path=xl/queryTables/queryTable1.xml><?xml version="1.0" encoding="utf-8"?>
<queryTable xmlns="http://schemas.openxmlformats.org/spreadsheetml/2006/main" name="ExternalData_1" backgroundRefresh="0" connectionId="1" autoFormatId="16" applyNumberFormats="0" applyBorderFormats="0" applyFontFormats="0" applyPatternFormats="0" applyAlignmentFormats="0" applyWidthHeightFormats="0">
  <queryTableRefresh preserveSortFilterLayout="0" nextId="26">
    <queryTableFields count="25">
      <queryTableField id="1" name="Date" tableColumnId="1"/>
      <queryTableField id="2" name="Pt" tableColumnId="2"/>
      <queryTableField id="3" name="Case" tableColumnId="3"/>
      <queryTableField id="4" name="Plan" tableColumnId="4"/>
      <queryTableField id="5" name="Body Site" tableColumnId="5"/>
      <queryTableField id="6" name="Tx Technique" tableColumnId="6"/>
      <queryTableField id="7" name="E1 ELEKTA Beam 1 GPR" tableColumnId="7"/>
      <queryTableField id="8" name="E1 ELEKTA Beam 2 GPR" tableColumnId="8"/>
      <queryTableField id="9" name="E1 ELEKTA Plan GPR" tableColumnId="9"/>
      <queryTableField id="10" name="E2 ELEKTA Beam 1 GPR" tableColumnId="10"/>
      <queryTableField id="11" name="E2 ELEKTA Beam 2 GPR" tableColumnId="11"/>
      <queryTableField id="12" name="E2 ELEKTA Plan GPR" tableColumnId="12"/>
      <queryTableField id="13" name="E2 E2 Beam 1 GPR" tableColumnId="13"/>
      <queryTableField id="14" name="E2 E2 Beam 2 GPR" tableColumnId="14"/>
      <queryTableField id="15" name="E2 E2 Plan GPR" tableColumnId="15"/>
      <queryTableField id="16" name="Beam 1: E2 E2 - E2 ELEKTA" tableColumnId="16"/>
      <queryTableField id="17" name="E1 E2 Beam 1 GPR" tableColumnId="17"/>
      <queryTableField id="18" name="E1 E2 Beam 2 GPR" tableColumnId="18"/>
      <queryTableField id="19" name="E1 E2 Plan GPR" tableColumnId="19"/>
      <queryTableField id="20" name="Beam 2: E2 E2 - E2 ELEKTA" tableColumnId="20"/>
      <queryTableField id="21" name="Plan: E2 E2 - E2 ELEKTA" tableColumnId="21"/>
      <queryTableField id="22" name="Beam 1: E1 ELEKTA - E2 E2" tableColumnId="22"/>
      <queryTableField id="23" name="Beam 2: E1 ELEKTA - E2 E2" tableColumnId="23"/>
      <queryTableField id="24" name="Plan: E1 ELEKTA - E2 E2" tableColumnId="24"/>
      <queryTableField id="25" name="Before/After Energy Adjustment" tableColumnId="25"/>
    </queryTableFields>
  </queryTableRefresh>
  <extLst>
    <ext xmlns:x15="http://schemas.microsoft.com/office/spreadsheetml/2010/11/main" uri="{883FBD77-0823-4a55-B5E3-86C4891E6966}">
      <x15:queryTable sourceDataName="Query - D4_Abs_Cal_Comp"/>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Before_After_Energy_Adjustment" sourceName="Before/After Energy Adjustment">
  <pivotTables>
    <pivotTable tabId="2" name="Avg_GPR"/>
  </pivotTables>
  <data>
    <tabular pivotCacheId="1" sortOrder="descending">
      <items count="3">
        <i x="1" s="1"/>
        <i x="0" s="1"/>
        <i x="2"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2" name="Avg_GPR"/>
  </pivotTables>
  <data>
    <tabular pivotCacheId="1">
      <items count="18">
        <i x="10" s="1"/>
        <i x="7" s="1"/>
        <i x="3" s="1"/>
        <i x="9" s="1"/>
        <i x="11" s="1"/>
        <i x="6" s="1"/>
        <i x="12" s="1"/>
        <i x="8" s="1"/>
        <i x="4" s="1"/>
        <i x="2" s="1"/>
        <i x="1" s="1"/>
        <i x="0" s="1"/>
        <i x="5" s="1"/>
        <i x="13" s="1"/>
        <i x="14" s="1"/>
        <i x="15" s="1"/>
        <i x="16" s="1"/>
        <i x="17"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t" sourceName="Pt">
  <pivotTables>
    <pivotTable tabId="2" name="Avg_GPR"/>
  </pivotTables>
  <data>
    <tabular pivotCacheId="1">
      <items count="29">
        <i x="5" s="1"/>
        <i x="8" s="1"/>
        <i x="6" s="1"/>
        <i x="26" s="1"/>
        <i x="18" s="1"/>
        <i x="27" s="1"/>
        <i x="17" s="1"/>
        <i x="12" s="1"/>
        <i x="16" s="1"/>
        <i x="13" s="1"/>
        <i x="3" s="1"/>
        <i x="20" s="1"/>
        <i x="4" s="1"/>
        <i x="19" s="1"/>
        <i x="28" s="1"/>
        <i x="2" s="1"/>
        <i x="25" s="1"/>
        <i x="7" s="1"/>
        <i x="21" s="1"/>
        <i x="24" s="1"/>
        <i x="1" s="1"/>
        <i x="9" s="1"/>
        <i x="23" s="1"/>
        <i x="14" s="1"/>
        <i x="10" s="1"/>
        <i x="0" s="1"/>
        <i x="22" s="1"/>
        <i x="11" s="1"/>
        <i x="15"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x_Technique1" sourceName="Tx Technique">
  <pivotTables>
    <pivotTable tabId="2" name="Avg_GPR"/>
  </pivotTables>
  <data>
    <tabular pivotCacheId="1">
      <items count="2">
        <i x="1" s="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n" sourceName="Plan">
  <pivotTables>
    <pivotTable tabId="2" name="Avg_GPR"/>
  </pivotTables>
  <data>
    <tabular pivotCacheId="1">
      <items count="22">
        <i x="16" s="1"/>
        <i x="10" s="1"/>
        <i x="11" s="1"/>
        <i x="12" s="1"/>
        <i x="20" s="1"/>
        <i x="13" s="1"/>
        <i x="14" s="1"/>
        <i x="15" s="1"/>
        <i x="19" s="1"/>
        <i x="18" s="1"/>
        <i x="0" s="1"/>
        <i x="6" s="1"/>
        <i x="7" s="1"/>
        <i x="3" s="1"/>
        <i x="1" s="1"/>
        <i x="2" s="1"/>
        <i x="21" s="1"/>
        <i x="8" s="1"/>
        <i x="9" s="1"/>
        <i x="5" s="1"/>
        <i x="4" s="1"/>
        <i x="17"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ody_Site1" sourceName="Body Site">
  <pivotTables>
    <pivotTable tabId="2" name="Avg_GPR"/>
  </pivotTables>
  <data>
    <tabular pivotCacheId="1">
      <items count="10">
        <i x="2" s="1"/>
        <i x="3" s="1"/>
        <i x="4" s="1"/>
        <i x="8" s="1"/>
        <i x="5" s="1"/>
        <i x="0" s="1"/>
        <i x="6" s="1"/>
        <i x="7" s="1"/>
        <i x="1" s="1"/>
        <i x="9"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Machine1" sourceName="Machine">
  <pivotTables>
    <pivotTable tabId="2" name="Avg_GPR"/>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TreatmentMachineName___Radiation_Device1" sourceName="TreatmentMachineName / Radiation Device">
  <pivotTables>
    <pivotTable tabId="2" name="Avg_GPR"/>
  </pivotTables>
  <data>
    <tabular pivotCacheId="1">
      <items count="3">
        <i x="1" s="1"/>
        <i x="0" s="1"/>
        <i x="2"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Body_Site" sourceName="Body Site">
  <extLst>
    <x:ext xmlns:x15="http://schemas.microsoft.com/office/spreadsheetml/2010/11/main" uri="{2F2917AC-EB37-4324-AD4E-5DD8C200BD13}">
      <x15:tableSlicerCache tableId="1" column="11"/>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x_Technique" sourceName="Tx Technique">
  <extLst>
    <x:ext xmlns:x15="http://schemas.microsoft.com/office/spreadsheetml/2010/11/main" uri="{2F2917AC-EB37-4324-AD4E-5DD8C200BD13}">
      <x15:tableSlicerCache tableId="1" column="4"/>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Machine" sourceName="Machine">
  <extLst>
    <x:ext xmlns:x15="http://schemas.microsoft.com/office/spreadsheetml/2010/11/main" uri="{2F2917AC-EB37-4324-AD4E-5DD8C200BD13}">
      <x15:tableSlicerCache tableId="1" column="5"/>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reatmentMachineName___Radiation_Device" sourceName="TreatmentMachineName / Radiation Device">
  <extLst>
    <x:ext xmlns:x15="http://schemas.microsoft.com/office/spreadsheetml/2010/11/main" uri="{2F2917AC-EB37-4324-AD4E-5DD8C200BD13}">
      <x15:tableSlicerCache tableId="1"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efore/After Energy Adjustment" cache="Slicer_Before_After_Energy_Adjustment" caption="Before/After Energy Adjustment" rowHeight="241300"/>
  <slicer name="Date" cache="Slicer_Date" caption="Date" rowHeight="241300"/>
  <slicer name="Pt" cache="Slicer_Pt" caption="Pt" rowHeight="241300"/>
  <slicer name="Tx Technique 1" cache="Slicer_Tx_Technique1" caption="Tx Technique" rowHeight="241300"/>
  <slicer name="Plan" cache="Slicer_Plan" caption="Plan" rowHeight="241300"/>
  <slicer name="Body Site" cache="Slicer_Body_Site1" caption="Body Site" rowHeight="241300"/>
  <slicer name="Machine 1" cache="Slicer_Machine1" caption="Machine" rowHeight="241300"/>
  <slicer name="TreatmentMachineName / Radiation Device 1" cache="Slicer_TreatmentMachineName___Radiation_Device1" caption="TreatmentMachineName / Radiation Device"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ody Site 1" cache="Slicer_Body_Site" caption="Body Site" rowHeight="241300"/>
  <slicer name="Tx Technique" cache="Slicer_Tx_Technique" caption="Tx Technique" rowHeight="241300"/>
  <slicer name="Machine" cache="Slicer_Machine" caption="Machine" rowHeight="241300"/>
  <slicer name="TreatmentMachineName / Radiation Device" cache="Slicer_TreatmentMachineName___Radiation_Device" caption="TreatmentMachineName / Radiation Device"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D4_Abs_Cal_Comp" displayName="D4_Abs_Cal_Comp" ref="A4:L69" totalsRowShown="0" headerRowDxfId="121" dataDxfId="119" headerRowBorderDxfId="120" tableBorderDxfId="118" totalsRowBorderDxfId="117">
  <autoFilter ref="A4:L69"/>
  <tableColumns count="12">
    <tableColumn id="10" name="Date" dataDxfId="116"/>
    <tableColumn id="1" name="Pt" dataDxfId="115"/>
    <tableColumn id="2" name="Case" dataDxfId="114"/>
    <tableColumn id="3" name="Plan" dataDxfId="113"/>
    <tableColumn id="11" name="Body Site" dataDxfId="112"/>
    <tableColumn id="4" name="Tx Technique" dataDxfId="111"/>
    <tableColumn id="5" name="Machine" dataDxfId="110"/>
    <tableColumn id="6" name="TreatmentMachineName / Radiation Device" dataDxfId="109"/>
    <tableColumn id="7" name="Beam 1 GPR" dataDxfId="108"/>
    <tableColumn id="8" name="Beam 2 GPR" dataDxfId="107"/>
    <tableColumn id="9" name="Plan GPR" dataDxfId="106"/>
    <tableColumn id="13" name="Before/After Energy Adjustment" dataDxfId="105">
      <calculatedColumnFormula>IF(D4_Abs_Cal_Comp[[#This Row],[Date]]="","",IF(D4_Abs_Cal_Comp[[#This Row],[Date]]&lt;=DATE(2022,4,29),"Before","After"))</calculatedColumnFormula>
    </tableColumn>
  </tableColumns>
  <tableStyleInfo showFirstColumn="0" showLastColumn="0" showRowStripes="1" showColumnStripes="0"/>
</table>
</file>

<file path=xl/tables/table2.xml><?xml version="1.0" encoding="utf-8"?>
<table xmlns="http://schemas.openxmlformats.org/spreadsheetml/2006/main" id="3" name="Mach_Rad_Dev_Comp" displayName="Mach_Rad_Dev_Comp" ref="A1:Y46" tableType="queryTable" totalsRowShown="0">
  <autoFilter ref="A1:Y46"/>
  <tableColumns count="25">
    <tableColumn id="1" uniqueName="1" name="Date" queryTableFieldId="1" dataDxfId="104"/>
    <tableColumn id="2" uniqueName="2" name="Pt" queryTableFieldId="2"/>
    <tableColumn id="3" uniqueName="3" name="Case" queryTableFieldId="3"/>
    <tableColumn id="4" uniqueName="4" name="Plan" queryTableFieldId="4"/>
    <tableColumn id="5" uniqueName="5" name="Body Site" queryTableFieldId="5"/>
    <tableColumn id="6" uniqueName="6" name="Tx Technique" queryTableFieldId="6"/>
    <tableColumn id="7" uniqueName="7" name="E1 ELEKTA Beam 1 GPR" queryTableFieldId="7"/>
    <tableColumn id="8" uniqueName="8" name="E1 ELEKTA Beam 2 GPR" queryTableFieldId="8"/>
    <tableColumn id="9" uniqueName="9" name="E1 ELEKTA Plan GPR" queryTableFieldId="9"/>
    <tableColumn id="10" uniqueName="10" name="E2 ELEKTA Beam 1 GPR" queryTableFieldId="10"/>
    <tableColumn id="11" uniqueName="11" name="E2 ELEKTA Beam 2 GPR" queryTableFieldId="11"/>
    <tableColumn id="12" uniqueName="12" name="E2 ELEKTA Plan GPR" queryTableFieldId="12"/>
    <tableColumn id="13" uniqueName="13" name="E2 E2 Beam 1 GPR" queryTableFieldId="13"/>
    <tableColumn id="14" uniqueName="14" name="E2 E2 Beam 2 GPR" queryTableFieldId="14"/>
    <tableColumn id="15" uniqueName="15" name="E2 E2 Plan GPR" queryTableFieldId="15"/>
    <tableColumn id="16" uniqueName="16" name="Beam 1: E2 E2 - E2 ELEKTA" queryTableFieldId="16"/>
    <tableColumn id="17" uniqueName="17" name="E1 E2 Beam 1 GPR" queryTableFieldId="17"/>
    <tableColumn id="18" uniqueName="18" name="E1 E2 Beam 2 GPR" queryTableFieldId="18"/>
    <tableColumn id="19" uniqueName="19" name="E1 E2 Plan GPR" queryTableFieldId="19"/>
    <tableColumn id="20" uniqueName="20" name="Beam 2: E2 E2 - E2 ELEKTA" queryTableFieldId="20"/>
    <tableColumn id="21" uniqueName="21" name="Plan: E2 E2 - E2 ELEKTA" queryTableFieldId="21"/>
    <tableColumn id="22" uniqueName="22" name="Beam 1: E1 ELEKTA - E2 E2" queryTableFieldId="22"/>
    <tableColumn id="23" uniqueName="23" name="Beam 2: E1 ELEKTA - E2 E2" queryTableFieldId="23"/>
    <tableColumn id="24" uniqueName="24" name="Plan: E1 ELEKTA - E2 E2" queryTableFieldId="24"/>
    <tableColumn id="25" uniqueName="25" name="Before/After Energy Adjustment" queryTableFieldId="25"/>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69"/>
  <sheetViews>
    <sheetView tabSelected="1" topLeftCell="A10" zoomScaleNormal="100" workbookViewId="0">
      <selection activeCell="C16" sqref="C16"/>
    </sheetView>
  </sheetViews>
  <sheetFormatPr defaultRowHeight="15" x14ac:dyDescent="0.25"/>
  <cols>
    <col min="1" max="1" width="9.7109375" bestFit="1" customWidth="1"/>
    <col min="2" max="2" width="19.140625" bestFit="1" customWidth="1"/>
    <col min="3" max="3" width="13.5703125" bestFit="1" customWidth="1"/>
    <col min="4" max="4" width="16.7109375" bestFit="1" customWidth="1"/>
    <col min="5" max="5" width="13.28515625" bestFit="1" customWidth="1"/>
    <col min="6" max="6" width="15" bestFit="1" customWidth="1"/>
    <col min="7" max="7" width="11" bestFit="1" customWidth="1"/>
    <col min="8" max="8" width="43.140625" style="21" bestFit="1" customWidth="1"/>
    <col min="9" max="10" width="13.85546875" style="21" bestFit="1" customWidth="1"/>
    <col min="11" max="11" width="20.28515625" customWidth="1"/>
    <col min="12" max="12" width="32.7109375" bestFit="1" customWidth="1"/>
    <col min="13" max="13" width="10.28515625" customWidth="1"/>
    <col min="14" max="14" width="6.42578125" customWidth="1"/>
    <col min="15" max="15" width="8.85546875" customWidth="1"/>
    <col min="16" max="16" width="6.7109375" customWidth="1"/>
    <col min="17" max="17" width="11.140625" customWidth="1"/>
    <col min="18" max="18" width="11.85546875" customWidth="1"/>
    <col min="19" max="19" width="7.7109375" customWidth="1"/>
    <col min="20" max="20" width="11.140625" customWidth="1"/>
    <col min="21" max="21" width="9.28515625" customWidth="1"/>
    <col min="22" max="22" width="15.42578125" customWidth="1"/>
    <col min="23" max="23" width="12.5703125" customWidth="1"/>
    <col min="24" max="24" width="15.5703125" customWidth="1"/>
    <col min="25" max="25" width="13.7109375" customWidth="1"/>
    <col min="26" max="26" width="11.28515625" customWidth="1"/>
    <col min="27" max="60" width="18.42578125" customWidth="1"/>
    <col min="61" max="61" width="18.42578125" bestFit="1" customWidth="1"/>
    <col min="62" max="66" width="18.42578125" customWidth="1"/>
    <col min="67" max="68" width="23.42578125" customWidth="1"/>
    <col min="69" max="69" width="4" customWidth="1"/>
    <col min="70" max="70" width="8.85546875" customWidth="1"/>
    <col min="71" max="71" width="11.28515625" customWidth="1"/>
    <col min="72" max="72" width="9.42578125" bestFit="1" customWidth="1"/>
    <col min="73" max="73" width="6.85546875" customWidth="1"/>
    <col min="74" max="74" width="5" customWidth="1"/>
    <col min="75" max="75" width="9.42578125" bestFit="1" customWidth="1"/>
    <col min="76" max="76" width="9.42578125" customWidth="1"/>
    <col min="77" max="77" width="6.85546875" customWidth="1"/>
    <col min="78" max="78" width="9.42578125" bestFit="1" customWidth="1"/>
    <col min="79" max="79" width="5.85546875" customWidth="1"/>
    <col min="80" max="80" width="8.85546875" customWidth="1"/>
    <col min="81" max="81" width="9.42578125" bestFit="1" customWidth="1"/>
    <col min="82" max="82" width="6.85546875" customWidth="1"/>
    <col min="83" max="83" width="9.42578125" customWidth="1"/>
    <col min="84" max="84" width="6.85546875" customWidth="1"/>
    <col min="85" max="85" width="9.42578125" customWidth="1"/>
    <col min="86" max="86" width="6.85546875" customWidth="1"/>
    <col min="87" max="87" width="9.42578125" customWidth="1"/>
    <col min="88" max="88" width="9.42578125" bestFit="1" customWidth="1"/>
    <col min="89" max="89" width="6.85546875" customWidth="1"/>
    <col min="90" max="90" width="9.42578125" bestFit="1" customWidth="1"/>
    <col min="91" max="91" width="6.85546875" customWidth="1"/>
    <col min="92" max="92" width="5" customWidth="1"/>
    <col min="93" max="93" width="9.42578125" bestFit="1" customWidth="1"/>
    <col min="94" max="94" width="5.85546875" customWidth="1"/>
    <col min="95" max="95" width="8.85546875" customWidth="1"/>
    <col min="96" max="96" width="9.42578125" bestFit="1" customWidth="1"/>
    <col min="97" max="97" width="6.85546875" customWidth="1"/>
    <col min="98" max="98" width="9.42578125" customWidth="1"/>
    <col min="99" max="99" width="9.42578125" bestFit="1" customWidth="1"/>
    <col min="100" max="100" width="6.85546875" customWidth="1"/>
    <col min="101" max="101" width="9.42578125" bestFit="1" customWidth="1"/>
    <col min="102" max="102" width="5.85546875" customWidth="1"/>
    <col min="103" max="104" width="8.85546875" customWidth="1"/>
    <col min="105" max="105" width="11.28515625" customWidth="1"/>
    <col min="106" max="107" width="8.85546875" customWidth="1"/>
    <col min="108" max="108" width="11.28515625" bestFit="1" customWidth="1"/>
  </cols>
  <sheetData>
    <row r="1" spans="1:12" x14ac:dyDescent="0.25">
      <c r="A1" s="63" t="s">
        <v>59</v>
      </c>
      <c r="B1" s="64"/>
      <c r="C1" s="64"/>
      <c r="D1" s="64"/>
      <c r="E1" s="64"/>
      <c r="F1" s="64"/>
      <c r="G1" s="64"/>
      <c r="H1" s="64"/>
      <c r="I1" s="64"/>
      <c r="J1" s="64"/>
      <c r="K1" s="65"/>
    </row>
    <row r="2" spans="1:12" ht="275.25" customHeight="1" thickBot="1" x14ac:dyDescent="0.3">
      <c r="A2" s="60" t="s">
        <v>109</v>
      </c>
      <c r="B2" s="61"/>
      <c r="C2" s="61"/>
      <c r="D2" s="61"/>
      <c r="E2" s="61"/>
      <c r="F2" s="61"/>
      <c r="G2" s="61"/>
      <c r="H2" s="61"/>
      <c r="I2" s="61"/>
      <c r="J2" s="61"/>
      <c r="K2" s="62"/>
      <c r="L2" s="24"/>
    </row>
    <row r="3" spans="1:12" ht="15.75" thickBot="1" x14ac:dyDescent="0.3"/>
    <row r="4" spans="1:12" ht="15.75" thickBot="1" x14ac:dyDescent="0.3">
      <c r="A4" s="36" t="s">
        <v>27</v>
      </c>
      <c r="B4" s="37" t="s">
        <v>0</v>
      </c>
      <c r="C4" s="37" t="s">
        <v>1</v>
      </c>
      <c r="D4" s="37" t="s">
        <v>2</v>
      </c>
      <c r="E4" s="37" t="s">
        <v>56</v>
      </c>
      <c r="F4" s="37" t="s">
        <v>16</v>
      </c>
      <c r="G4" s="37" t="s">
        <v>3</v>
      </c>
      <c r="H4" s="37" t="s">
        <v>10</v>
      </c>
      <c r="I4" s="38" t="s">
        <v>4</v>
      </c>
      <c r="J4" s="38" t="s">
        <v>5</v>
      </c>
      <c r="K4" s="39" t="s">
        <v>6</v>
      </c>
      <c r="L4" s="51" t="s">
        <v>60</v>
      </c>
    </row>
    <row r="5" spans="1:12" x14ac:dyDescent="0.25">
      <c r="A5" s="32">
        <v>44690</v>
      </c>
      <c r="B5" s="1">
        <v>1</v>
      </c>
      <c r="C5" s="1" t="s">
        <v>12</v>
      </c>
      <c r="D5" s="1" t="s">
        <v>8</v>
      </c>
      <c r="E5" s="1" t="s">
        <v>57</v>
      </c>
      <c r="F5" s="1" t="s">
        <v>17</v>
      </c>
      <c r="G5" s="1" t="s">
        <v>11</v>
      </c>
      <c r="H5" s="1" t="s">
        <v>9</v>
      </c>
      <c r="I5" s="13">
        <v>97.2</v>
      </c>
      <c r="J5" s="13">
        <v>98.3</v>
      </c>
      <c r="K5" s="13">
        <v>95.8</v>
      </c>
      <c r="L5" s="14" t="str">
        <f>IF(D4_Abs_Cal_Comp[[#This Row],[Date]]="","",IF(D4_Abs_Cal_Comp[[#This Row],[Date]]&lt;=DATE(2022,4,29),"Before","After"))</f>
        <v>After</v>
      </c>
    </row>
    <row r="6" spans="1:12" ht="15.75" thickBot="1" x14ac:dyDescent="0.3">
      <c r="A6" s="34">
        <v>44690</v>
      </c>
      <c r="B6" s="30">
        <v>1</v>
      </c>
      <c r="C6" s="30" t="s">
        <v>12</v>
      </c>
      <c r="D6" s="30" t="s">
        <v>8</v>
      </c>
      <c r="E6" s="30" t="s">
        <v>57</v>
      </c>
      <c r="F6" s="30" t="s">
        <v>17</v>
      </c>
      <c r="G6" s="30" t="s">
        <v>13</v>
      </c>
      <c r="H6" s="30" t="s">
        <v>9</v>
      </c>
      <c r="I6" s="31">
        <v>88.7</v>
      </c>
      <c r="J6" s="31">
        <v>96.5</v>
      </c>
      <c r="K6" s="31">
        <v>87</v>
      </c>
      <c r="L6" s="35" t="str">
        <f>IF(D4_Abs_Cal_Comp[[#This Row],[Date]]="","",IF(D4_Abs_Cal_Comp[[#This Row],[Date]]&lt;=DATE(2022,4,29),"Before","After"))</f>
        <v>After</v>
      </c>
    </row>
    <row r="7" spans="1:12" x14ac:dyDescent="0.25">
      <c r="A7" s="32">
        <v>44690</v>
      </c>
      <c r="B7" s="1">
        <v>2</v>
      </c>
      <c r="C7" s="1" t="s">
        <v>15</v>
      </c>
      <c r="D7" s="1" t="s">
        <v>15</v>
      </c>
      <c r="E7" s="1" t="s">
        <v>57</v>
      </c>
      <c r="F7" s="1" t="s">
        <v>18</v>
      </c>
      <c r="G7" s="1" t="s">
        <v>11</v>
      </c>
      <c r="H7" s="1" t="s">
        <v>9</v>
      </c>
      <c r="I7" s="13">
        <v>100</v>
      </c>
      <c r="J7" s="13">
        <v>100</v>
      </c>
      <c r="K7" s="13">
        <v>100</v>
      </c>
      <c r="L7" s="14" t="str">
        <f>IF(D4_Abs_Cal_Comp[[#This Row],[Date]]="","",IF(D4_Abs_Cal_Comp[[#This Row],[Date]]&lt;=DATE(2022,4,29),"Before","After"))</f>
        <v>After</v>
      </c>
    </row>
    <row r="8" spans="1:12" ht="15.75" thickBot="1" x14ac:dyDescent="0.3">
      <c r="A8" s="34">
        <v>44690</v>
      </c>
      <c r="B8" s="30">
        <v>2</v>
      </c>
      <c r="C8" s="30" t="s">
        <v>15</v>
      </c>
      <c r="D8" s="30" t="s">
        <v>15</v>
      </c>
      <c r="E8" s="30" t="s">
        <v>57</v>
      </c>
      <c r="F8" s="30" t="s">
        <v>18</v>
      </c>
      <c r="G8" s="30" t="s">
        <v>13</v>
      </c>
      <c r="H8" s="30" t="s">
        <v>9</v>
      </c>
      <c r="I8" s="31">
        <v>100</v>
      </c>
      <c r="J8" s="31">
        <v>100</v>
      </c>
      <c r="K8" s="31">
        <v>100</v>
      </c>
      <c r="L8" s="35" t="str">
        <f>IF(D4_Abs_Cal_Comp[[#This Row],[Date]]="","",IF(D4_Abs_Cal_Comp[[#This Row],[Date]]&lt;=DATE(2022,4,29),"Before","After"))</f>
        <v>After</v>
      </c>
    </row>
    <row r="9" spans="1:12" x14ac:dyDescent="0.25">
      <c r="A9" s="32">
        <v>44690</v>
      </c>
      <c r="B9" s="1">
        <v>3</v>
      </c>
      <c r="C9" s="1" t="s">
        <v>12</v>
      </c>
      <c r="D9" s="1" t="s">
        <v>20</v>
      </c>
      <c r="E9" s="1" t="s">
        <v>57</v>
      </c>
      <c r="F9" s="1" t="s">
        <v>18</v>
      </c>
      <c r="G9" s="1" t="s">
        <v>11</v>
      </c>
      <c r="H9" s="1" t="s">
        <v>9</v>
      </c>
      <c r="I9" s="13">
        <v>99.5</v>
      </c>
      <c r="J9" s="13">
        <v>100</v>
      </c>
      <c r="K9" s="13">
        <v>99.8</v>
      </c>
      <c r="L9" s="14" t="str">
        <f>IF(D4_Abs_Cal_Comp[[#This Row],[Date]]="","",IF(D4_Abs_Cal_Comp[[#This Row],[Date]]&lt;=DATE(2022,4,29),"Before","After"))</f>
        <v>After</v>
      </c>
    </row>
    <row r="10" spans="1:12" ht="15.75" thickBot="1" x14ac:dyDescent="0.3">
      <c r="A10" s="34">
        <v>44690</v>
      </c>
      <c r="B10" s="30">
        <v>3</v>
      </c>
      <c r="C10" s="30" t="s">
        <v>12</v>
      </c>
      <c r="D10" s="30" t="s">
        <v>20</v>
      </c>
      <c r="E10" s="30" t="s">
        <v>57</v>
      </c>
      <c r="F10" s="30" t="s">
        <v>18</v>
      </c>
      <c r="G10" s="30" t="s">
        <v>13</v>
      </c>
      <c r="H10" s="30" t="s">
        <v>9</v>
      </c>
      <c r="I10" s="31">
        <v>100</v>
      </c>
      <c r="J10" s="31">
        <v>100</v>
      </c>
      <c r="K10" s="31">
        <v>100</v>
      </c>
      <c r="L10" s="35" t="str">
        <f>IF(D4_Abs_Cal_Comp[[#This Row],[Date]]="","",IF(D4_Abs_Cal_Comp[[#This Row],[Date]]&lt;=DATE(2022,4,29),"Before","After"))</f>
        <v>After</v>
      </c>
    </row>
    <row r="11" spans="1:12" x14ac:dyDescent="0.25">
      <c r="A11" s="32">
        <v>44687</v>
      </c>
      <c r="B11" s="1">
        <v>4</v>
      </c>
      <c r="C11" s="1" t="s">
        <v>23</v>
      </c>
      <c r="D11" s="1" t="s">
        <v>22</v>
      </c>
      <c r="E11" s="1" t="s">
        <v>22</v>
      </c>
      <c r="F11" s="1" t="s">
        <v>17</v>
      </c>
      <c r="G11" s="1" t="s">
        <v>11</v>
      </c>
      <c r="H11" s="1" t="s">
        <v>9</v>
      </c>
      <c r="I11" s="13">
        <v>99.3</v>
      </c>
      <c r="J11" s="13">
        <v>99.8</v>
      </c>
      <c r="K11" s="13">
        <v>99.9</v>
      </c>
      <c r="L11" s="14" t="str">
        <f>IF(D4_Abs_Cal_Comp[[#This Row],[Date]]="","",IF(D4_Abs_Cal_Comp[[#This Row],[Date]]&lt;=DATE(2022,4,29),"Before","After"))</f>
        <v>After</v>
      </c>
    </row>
    <row r="12" spans="1:12" ht="15.75" thickBot="1" x14ac:dyDescent="0.3">
      <c r="A12" s="34">
        <v>44687</v>
      </c>
      <c r="B12" s="30">
        <v>4</v>
      </c>
      <c r="C12" s="30" t="s">
        <v>23</v>
      </c>
      <c r="D12" s="30" t="s">
        <v>22</v>
      </c>
      <c r="E12" s="30" t="s">
        <v>22</v>
      </c>
      <c r="F12" s="30" t="s">
        <v>17</v>
      </c>
      <c r="G12" s="30" t="s">
        <v>13</v>
      </c>
      <c r="H12" s="30" t="s">
        <v>9</v>
      </c>
      <c r="I12" s="31">
        <v>95.2</v>
      </c>
      <c r="J12" s="31">
        <v>92.6</v>
      </c>
      <c r="K12" s="31">
        <v>82.9</v>
      </c>
      <c r="L12" s="35" t="str">
        <f>IF(D4_Abs_Cal_Comp[[#This Row],[Date]]="","",IF(D4_Abs_Cal_Comp[[#This Row],[Date]]&lt;=DATE(2022,4,29),"Before","After"))</f>
        <v>After</v>
      </c>
    </row>
    <row r="13" spans="1:12" ht="15.75" thickBot="1" x14ac:dyDescent="0.3">
      <c r="A13" s="52">
        <v>44686</v>
      </c>
      <c r="B13" s="53">
        <v>5</v>
      </c>
      <c r="C13" s="53" t="s">
        <v>25</v>
      </c>
      <c r="D13" s="53" t="s">
        <v>25</v>
      </c>
      <c r="E13" s="53" t="s">
        <v>22</v>
      </c>
      <c r="F13" s="53" t="s">
        <v>17</v>
      </c>
      <c r="G13" s="53" t="s">
        <v>11</v>
      </c>
      <c r="H13" s="53" t="s">
        <v>9</v>
      </c>
      <c r="I13" s="54">
        <v>99.3</v>
      </c>
      <c r="J13" s="54">
        <v>99.8</v>
      </c>
      <c r="K13" s="54">
        <v>98.7</v>
      </c>
      <c r="L13" s="55" t="str">
        <f>IF(D4_Abs_Cal_Comp[[#This Row],[Date]]="","",IF(D4_Abs_Cal_Comp[[#This Row],[Date]]&lt;=DATE(2022,4,29),"Before","After"))</f>
        <v>After</v>
      </c>
    </row>
    <row r="14" spans="1:12" ht="15.75" thickBot="1" x14ac:dyDescent="0.3">
      <c r="A14" s="52">
        <v>44686</v>
      </c>
      <c r="B14" s="53">
        <v>5</v>
      </c>
      <c r="C14" s="53" t="s">
        <v>25</v>
      </c>
      <c r="D14" s="53" t="s">
        <v>26</v>
      </c>
      <c r="E14" s="53" t="s">
        <v>22</v>
      </c>
      <c r="F14" s="53" t="s">
        <v>17</v>
      </c>
      <c r="G14" s="53" t="s">
        <v>11</v>
      </c>
      <c r="H14" s="53" t="s">
        <v>9</v>
      </c>
      <c r="I14" s="54">
        <v>98.5</v>
      </c>
      <c r="J14" s="54">
        <v>99.2</v>
      </c>
      <c r="K14" s="54">
        <v>98.5</v>
      </c>
      <c r="L14" s="55" t="str">
        <f>IF(D4_Abs_Cal_Comp[[#This Row],[Date]]="","",IF(D4_Abs_Cal_Comp[[#This Row],[Date]]&lt;=DATE(2022,4,29),"Before","After"))</f>
        <v>After</v>
      </c>
    </row>
    <row r="15" spans="1:12" ht="15.75" thickBot="1" x14ac:dyDescent="0.3">
      <c r="A15" s="52">
        <v>44666</v>
      </c>
      <c r="B15" s="53">
        <v>6</v>
      </c>
      <c r="C15" s="53" t="s">
        <v>12</v>
      </c>
      <c r="D15" s="53" t="s">
        <v>29</v>
      </c>
      <c r="E15" s="53" t="s">
        <v>57</v>
      </c>
      <c r="F15" s="53" t="s">
        <v>17</v>
      </c>
      <c r="G15" s="53" t="s">
        <v>11</v>
      </c>
      <c r="H15" s="53" t="s">
        <v>9</v>
      </c>
      <c r="I15" s="54">
        <v>99.7</v>
      </c>
      <c r="J15" s="54">
        <v>99.7</v>
      </c>
      <c r="K15" s="54">
        <v>99.7</v>
      </c>
      <c r="L15" s="55" t="str">
        <f>IF(D4_Abs_Cal_Comp[[#This Row],[Date]]="","",IF(D4_Abs_Cal_Comp[[#This Row],[Date]]&lt;=DATE(2022,4,29),"Before","After"))</f>
        <v>Before</v>
      </c>
    </row>
    <row r="16" spans="1:12" x14ac:dyDescent="0.25">
      <c r="A16" s="32">
        <v>44684</v>
      </c>
      <c r="B16" s="1">
        <v>7</v>
      </c>
      <c r="C16" s="1" t="s">
        <v>23</v>
      </c>
      <c r="D16" s="1" t="s">
        <v>22</v>
      </c>
      <c r="E16" s="1" t="s">
        <v>22</v>
      </c>
      <c r="F16" s="1" t="s">
        <v>17</v>
      </c>
      <c r="G16" s="1" t="s">
        <v>11</v>
      </c>
      <c r="H16" s="1" t="s">
        <v>9</v>
      </c>
      <c r="I16" s="13">
        <v>99</v>
      </c>
      <c r="J16" s="13">
        <v>99.9</v>
      </c>
      <c r="K16" s="13">
        <v>99</v>
      </c>
      <c r="L16" s="14" t="str">
        <f>IF(D4_Abs_Cal_Comp[[#This Row],[Date]]="","",IF(D4_Abs_Cal_Comp[[#This Row],[Date]]&lt;=DATE(2022,4,29),"Before","After"))</f>
        <v>After</v>
      </c>
    </row>
    <row r="17" spans="1:12" ht="15.75" thickBot="1" x14ac:dyDescent="0.3">
      <c r="A17" s="34">
        <v>44691</v>
      </c>
      <c r="B17" s="30">
        <v>7</v>
      </c>
      <c r="C17" s="30" t="s">
        <v>23</v>
      </c>
      <c r="D17" s="30" t="s">
        <v>22</v>
      </c>
      <c r="E17" s="30" t="s">
        <v>22</v>
      </c>
      <c r="F17" s="30" t="s">
        <v>17</v>
      </c>
      <c r="G17" s="30" t="s">
        <v>13</v>
      </c>
      <c r="H17" s="30" t="s">
        <v>13</v>
      </c>
      <c r="I17" s="31">
        <v>97.6</v>
      </c>
      <c r="J17" s="31">
        <v>96.7</v>
      </c>
      <c r="K17" s="31">
        <v>93.6</v>
      </c>
      <c r="L17" s="35" t="str">
        <f>IF(D4_Abs_Cal_Comp[[#This Row],[Date]]="","",IF(D4_Abs_Cal_Comp[[#This Row],[Date]]&lt;=DATE(2022,4,29),"Before","After"))</f>
        <v>After</v>
      </c>
    </row>
    <row r="18" spans="1:12" x14ac:dyDescent="0.25">
      <c r="A18" s="32">
        <v>44684</v>
      </c>
      <c r="B18" s="1">
        <v>7</v>
      </c>
      <c r="C18" s="1" t="s">
        <v>23</v>
      </c>
      <c r="D18" s="1" t="s">
        <v>31</v>
      </c>
      <c r="E18" s="1" t="s">
        <v>22</v>
      </c>
      <c r="F18" s="1" t="s">
        <v>17</v>
      </c>
      <c r="G18" s="1" t="s">
        <v>11</v>
      </c>
      <c r="H18" s="1" t="s">
        <v>9</v>
      </c>
      <c r="I18" s="13">
        <v>96.4</v>
      </c>
      <c r="J18" s="13">
        <v>99.7</v>
      </c>
      <c r="K18" s="13">
        <v>98.9</v>
      </c>
      <c r="L18" s="14" t="str">
        <f>IF(D4_Abs_Cal_Comp[[#This Row],[Date]]="","",IF(D4_Abs_Cal_Comp[[#This Row],[Date]]&lt;=DATE(2022,4,29),"Before","After"))</f>
        <v>After</v>
      </c>
    </row>
    <row r="19" spans="1:12" ht="15.75" thickBot="1" x14ac:dyDescent="0.3">
      <c r="A19" s="34">
        <v>44691</v>
      </c>
      <c r="B19" s="30">
        <v>7</v>
      </c>
      <c r="C19" s="30" t="s">
        <v>23</v>
      </c>
      <c r="D19" s="30" t="s">
        <v>31</v>
      </c>
      <c r="E19" s="30" t="s">
        <v>22</v>
      </c>
      <c r="F19" s="30" t="s">
        <v>17</v>
      </c>
      <c r="G19" s="30" t="s">
        <v>13</v>
      </c>
      <c r="H19" s="30" t="s">
        <v>13</v>
      </c>
      <c r="I19" s="31">
        <v>98.9</v>
      </c>
      <c r="J19" s="31">
        <v>97.4</v>
      </c>
      <c r="K19" s="31">
        <v>95.7</v>
      </c>
      <c r="L19" s="35" t="str">
        <f>IF(D4_Abs_Cal_Comp[[#This Row],[Date]]="","",IF(D4_Abs_Cal_Comp[[#This Row],[Date]]&lt;=DATE(2022,4,29),"Before","After"))</f>
        <v>After</v>
      </c>
    </row>
    <row r="20" spans="1:12" ht="15.75" thickBot="1" x14ac:dyDescent="0.3">
      <c r="A20" s="52">
        <v>44684</v>
      </c>
      <c r="B20" s="53">
        <v>8</v>
      </c>
      <c r="C20" s="53" t="s">
        <v>54</v>
      </c>
      <c r="D20" s="53" t="s">
        <v>33</v>
      </c>
      <c r="E20" s="53" t="s">
        <v>54</v>
      </c>
      <c r="F20" s="53" t="s">
        <v>17</v>
      </c>
      <c r="G20" s="53" t="s">
        <v>11</v>
      </c>
      <c r="H20" s="53" t="s">
        <v>9</v>
      </c>
      <c r="I20" s="54">
        <v>99.1</v>
      </c>
      <c r="J20" s="54">
        <v>98.9</v>
      </c>
      <c r="K20" s="54">
        <v>94.3</v>
      </c>
      <c r="L20" s="55" t="str">
        <f>IF(D4_Abs_Cal_Comp[[#This Row],[Date]]="","",IF(D4_Abs_Cal_Comp[[#This Row],[Date]]&lt;=DATE(2022,4,29),"Before","After"))</f>
        <v>After</v>
      </c>
    </row>
    <row r="21" spans="1:12" x14ac:dyDescent="0.25">
      <c r="A21" s="32">
        <v>44677</v>
      </c>
      <c r="B21" s="1">
        <v>9</v>
      </c>
      <c r="C21" s="1" t="s">
        <v>52</v>
      </c>
      <c r="D21" s="1" t="s">
        <v>35</v>
      </c>
      <c r="E21" s="1" t="s">
        <v>57</v>
      </c>
      <c r="F21" s="1" t="s">
        <v>17</v>
      </c>
      <c r="G21" s="1" t="s">
        <v>13</v>
      </c>
      <c r="H21" s="1" t="s">
        <v>9</v>
      </c>
      <c r="I21" s="13">
        <v>99.8</v>
      </c>
      <c r="J21" s="13">
        <v>99.1</v>
      </c>
      <c r="K21" s="13">
        <v>99.8</v>
      </c>
      <c r="L21" s="14" t="str">
        <f>IF(D4_Abs_Cal_Comp[[#This Row],[Date]]="","",IF(D4_Abs_Cal_Comp[[#This Row],[Date]]&lt;=DATE(2022,4,29),"Before","After"))</f>
        <v>Before</v>
      </c>
    </row>
    <row r="22" spans="1:12" ht="15.75" thickBot="1" x14ac:dyDescent="0.3">
      <c r="A22" s="34">
        <v>44691</v>
      </c>
      <c r="B22" s="30">
        <v>9</v>
      </c>
      <c r="C22" s="30" t="s">
        <v>52</v>
      </c>
      <c r="D22" s="30" t="s">
        <v>35</v>
      </c>
      <c r="E22" s="30" t="s">
        <v>57</v>
      </c>
      <c r="F22" s="30" t="s">
        <v>17</v>
      </c>
      <c r="G22" s="30" t="s">
        <v>13</v>
      </c>
      <c r="H22" s="30" t="s">
        <v>9</v>
      </c>
      <c r="I22" s="31">
        <v>97.5</v>
      </c>
      <c r="J22" s="31">
        <v>96.3</v>
      </c>
      <c r="K22" s="31">
        <v>97.3</v>
      </c>
      <c r="L22" s="35" t="str">
        <f>IF(D4_Abs_Cal_Comp[[#This Row],[Date]]="","",IF(D4_Abs_Cal_Comp[[#This Row],[Date]]&lt;=DATE(2022,4,29),"Before","After"))</f>
        <v>After</v>
      </c>
    </row>
    <row r="23" spans="1:12" x14ac:dyDescent="0.25">
      <c r="A23" s="40">
        <v>44664</v>
      </c>
      <c r="B23" s="12">
        <v>10</v>
      </c>
      <c r="C23" s="12" t="s">
        <v>25</v>
      </c>
      <c r="D23" s="12" t="s">
        <v>25</v>
      </c>
      <c r="E23" s="1" t="s">
        <v>22</v>
      </c>
      <c r="F23" s="12" t="s">
        <v>17</v>
      </c>
      <c r="G23" s="12" t="s">
        <v>11</v>
      </c>
      <c r="H23" s="12" t="s">
        <v>9</v>
      </c>
      <c r="I23" s="19">
        <v>99.2</v>
      </c>
      <c r="J23" s="19">
        <v>99.5</v>
      </c>
      <c r="K23" s="19">
        <v>98.9</v>
      </c>
      <c r="L23" s="20" t="str">
        <f>IF(D4_Abs_Cal_Comp[[#This Row],[Date]]="","",IF(D4_Abs_Cal_Comp[[#This Row],[Date]]&lt;=DATE(2022,4,29),"Before","After"))</f>
        <v>Before</v>
      </c>
    </row>
    <row r="24" spans="1:12" ht="15.75" thickBot="1" x14ac:dyDescent="0.3">
      <c r="A24" s="56">
        <v>44691</v>
      </c>
      <c r="B24" s="57">
        <v>10</v>
      </c>
      <c r="C24" s="57" t="s">
        <v>25</v>
      </c>
      <c r="D24" s="57" t="s">
        <v>25</v>
      </c>
      <c r="E24" s="30" t="s">
        <v>22</v>
      </c>
      <c r="F24" s="57" t="s">
        <v>17</v>
      </c>
      <c r="G24" s="57" t="s">
        <v>13</v>
      </c>
      <c r="H24" s="57" t="s">
        <v>9</v>
      </c>
      <c r="I24" s="58">
        <v>99.7</v>
      </c>
      <c r="J24" s="58">
        <v>95.6</v>
      </c>
      <c r="K24" s="58">
        <v>95.6</v>
      </c>
      <c r="L24" s="59" t="str">
        <f>IF(D4_Abs_Cal_Comp[[#This Row],[Date]]="","",IF(D4_Abs_Cal_Comp[[#This Row],[Date]]&lt;=DATE(2022,4,29),"Before","After"))</f>
        <v>After</v>
      </c>
    </row>
    <row r="25" spans="1:12" x14ac:dyDescent="0.25">
      <c r="A25" s="40">
        <v>44686</v>
      </c>
      <c r="B25" s="12">
        <v>11</v>
      </c>
      <c r="C25" s="1" t="s">
        <v>23</v>
      </c>
      <c r="D25" s="12" t="s">
        <v>38</v>
      </c>
      <c r="E25" s="12" t="s">
        <v>38</v>
      </c>
      <c r="F25" s="12" t="s">
        <v>17</v>
      </c>
      <c r="G25" s="12" t="s">
        <v>11</v>
      </c>
      <c r="H25" s="12" t="s">
        <v>9</v>
      </c>
      <c r="I25" s="19">
        <v>99.6</v>
      </c>
      <c r="J25" s="19">
        <v>99.2</v>
      </c>
      <c r="K25" s="19">
        <v>99.3</v>
      </c>
      <c r="L25" s="20" t="str">
        <f>IF(D4_Abs_Cal_Comp[[#This Row],[Date]]="","",IF(D4_Abs_Cal_Comp[[#This Row],[Date]]&lt;=DATE(2022,4,29),"Before","After"))</f>
        <v>After</v>
      </c>
    </row>
    <row r="26" spans="1:12" x14ac:dyDescent="0.25">
      <c r="A26" s="41">
        <v>44691</v>
      </c>
      <c r="B26" s="11">
        <v>11</v>
      </c>
      <c r="C26" s="2" t="s">
        <v>23</v>
      </c>
      <c r="D26" s="11" t="s">
        <v>38</v>
      </c>
      <c r="E26" s="11" t="s">
        <v>38</v>
      </c>
      <c r="F26" s="11" t="s">
        <v>17</v>
      </c>
      <c r="G26" s="11" t="s">
        <v>13</v>
      </c>
      <c r="H26" s="11" t="s">
        <v>9</v>
      </c>
      <c r="I26" s="17">
        <v>96.7</v>
      </c>
      <c r="J26" s="17">
        <v>83.7</v>
      </c>
      <c r="K26" s="17">
        <v>78.3</v>
      </c>
      <c r="L26" s="18" t="str">
        <f>IF(D4_Abs_Cal_Comp[[#This Row],[Date]]="","",IF(D4_Abs_Cal_Comp[[#This Row],[Date]]&lt;=DATE(2022,4,29),"Before","After"))</f>
        <v>After</v>
      </c>
    </row>
    <row r="27" spans="1:12" ht="15.75" thickBot="1" x14ac:dyDescent="0.3">
      <c r="A27" s="56">
        <v>44691</v>
      </c>
      <c r="B27" s="57">
        <v>11</v>
      </c>
      <c r="C27" s="30" t="s">
        <v>23</v>
      </c>
      <c r="D27" s="57" t="s">
        <v>38</v>
      </c>
      <c r="E27" s="57" t="s">
        <v>38</v>
      </c>
      <c r="F27" s="57" t="s">
        <v>17</v>
      </c>
      <c r="G27" s="57" t="s">
        <v>13</v>
      </c>
      <c r="H27" s="57" t="s">
        <v>13</v>
      </c>
      <c r="I27" s="58">
        <v>98.4</v>
      </c>
      <c r="J27" s="58">
        <v>85.7</v>
      </c>
      <c r="K27" s="58">
        <v>82.5</v>
      </c>
      <c r="L27" s="59" t="str">
        <f>IF(D4_Abs_Cal_Comp[[#This Row],[Date]]="","",IF(D4_Abs_Cal_Comp[[#This Row],[Date]]&lt;=DATE(2022,4,29),"Before","After"))</f>
        <v>After</v>
      </c>
    </row>
    <row r="28" spans="1:12" x14ac:dyDescent="0.25">
      <c r="A28" s="40">
        <v>44686</v>
      </c>
      <c r="B28" s="12">
        <v>11</v>
      </c>
      <c r="C28" s="1" t="s">
        <v>23</v>
      </c>
      <c r="D28" s="12" t="s">
        <v>39</v>
      </c>
      <c r="E28" s="12" t="s">
        <v>38</v>
      </c>
      <c r="F28" s="12" t="s">
        <v>17</v>
      </c>
      <c r="G28" s="12" t="s">
        <v>11</v>
      </c>
      <c r="H28" s="12" t="s">
        <v>9</v>
      </c>
      <c r="I28" s="19">
        <v>99.7</v>
      </c>
      <c r="J28" s="19">
        <v>99.7</v>
      </c>
      <c r="K28" s="19">
        <v>99.5</v>
      </c>
      <c r="L28" s="20" t="str">
        <f>IF(D4_Abs_Cal_Comp[[#This Row],[Date]]="","",IF(D4_Abs_Cal_Comp[[#This Row],[Date]]&lt;=DATE(2022,4,29),"Before","After"))</f>
        <v>After</v>
      </c>
    </row>
    <row r="29" spans="1:12" x14ac:dyDescent="0.25">
      <c r="A29" s="41">
        <v>44691</v>
      </c>
      <c r="B29" s="11">
        <v>11</v>
      </c>
      <c r="C29" s="2" t="s">
        <v>23</v>
      </c>
      <c r="D29" s="11" t="s">
        <v>39</v>
      </c>
      <c r="E29" s="11" t="s">
        <v>38</v>
      </c>
      <c r="F29" s="11" t="s">
        <v>17</v>
      </c>
      <c r="G29" s="11" t="s">
        <v>13</v>
      </c>
      <c r="H29" s="11" t="s">
        <v>9</v>
      </c>
      <c r="I29" s="17">
        <v>81.5</v>
      </c>
      <c r="J29" s="17">
        <v>86.2</v>
      </c>
      <c r="K29" s="17">
        <v>77.599999999999994</v>
      </c>
      <c r="L29" s="18" t="str">
        <f>IF(D4_Abs_Cal_Comp[[#This Row],[Date]]="","",IF(D4_Abs_Cal_Comp[[#This Row],[Date]]&lt;=DATE(2022,4,29),"Before","After"))</f>
        <v>After</v>
      </c>
    </row>
    <row r="30" spans="1:12" ht="15.75" thickBot="1" x14ac:dyDescent="0.3">
      <c r="A30" s="34">
        <v>44691</v>
      </c>
      <c r="B30" s="30">
        <v>11</v>
      </c>
      <c r="C30" s="30" t="s">
        <v>23</v>
      </c>
      <c r="D30" s="30" t="s">
        <v>39</v>
      </c>
      <c r="E30" s="57" t="s">
        <v>38</v>
      </c>
      <c r="F30" s="30" t="s">
        <v>17</v>
      </c>
      <c r="G30" s="30" t="s">
        <v>13</v>
      </c>
      <c r="H30" s="30" t="s">
        <v>13</v>
      </c>
      <c r="I30" s="31">
        <v>87.9</v>
      </c>
      <c r="J30" s="31">
        <v>92.9</v>
      </c>
      <c r="K30" s="31">
        <v>86.1</v>
      </c>
      <c r="L30" s="35" t="str">
        <f>IF(D4_Abs_Cal_Comp[[#This Row],[Date]]="","",IF(D4_Abs_Cal_Comp[[#This Row],[Date]]&lt;=DATE(2022,4,29),"Before","After"))</f>
        <v>After</v>
      </c>
    </row>
    <row r="31" spans="1:12" x14ac:dyDescent="0.25">
      <c r="A31" s="32">
        <v>44683</v>
      </c>
      <c r="B31" s="1">
        <v>12</v>
      </c>
      <c r="C31" s="1" t="s">
        <v>23</v>
      </c>
      <c r="D31" s="1" t="s">
        <v>41</v>
      </c>
      <c r="E31" s="1" t="s">
        <v>58</v>
      </c>
      <c r="F31" s="1" t="s">
        <v>17</v>
      </c>
      <c r="G31" s="1" t="s">
        <v>11</v>
      </c>
      <c r="H31" s="1" t="s">
        <v>9</v>
      </c>
      <c r="I31" s="13">
        <v>98.8</v>
      </c>
      <c r="J31" s="13">
        <v>98.9</v>
      </c>
      <c r="K31" s="13">
        <v>98.2</v>
      </c>
      <c r="L31" s="14" t="str">
        <f>IF(D4_Abs_Cal_Comp[[#This Row],[Date]]="","",IF(D4_Abs_Cal_Comp[[#This Row],[Date]]&lt;=DATE(2022,4,29),"Before","After"))</f>
        <v>After</v>
      </c>
    </row>
    <row r="32" spans="1:12" ht="15.75" thickBot="1" x14ac:dyDescent="0.3">
      <c r="A32" s="34">
        <v>44691</v>
      </c>
      <c r="B32" s="30">
        <v>12</v>
      </c>
      <c r="C32" s="30" t="s">
        <v>23</v>
      </c>
      <c r="D32" s="30" t="s">
        <v>41</v>
      </c>
      <c r="E32" s="30" t="s">
        <v>58</v>
      </c>
      <c r="F32" s="30" t="s">
        <v>17</v>
      </c>
      <c r="G32" s="30" t="s">
        <v>13</v>
      </c>
      <c r="H32" s="30" t="s">
        <v>9</v>
      </c>
      <c r="I32" s="31">
        <v>92.7</v>
      </c>
      <c r="J32" s="31">
        <v>97.2</v>
      </c>
      <c r="K32" s="31">
        <v>90.8</v>
      </c>
      <c r="L32" s="35" t="str">
        <f>IF(D4_Abs_Cal_Comp[[#This Row],[Date]]="","",IF(D4_Abs_Cal_Comp[[#This Row],[Date]]&lt;=DATE(2022,4,29),"Before","After"))</f>
        <v>After</v>
      </c>
    </row>
    <row r="33" spans="1:12" x14ac:dyDescent="0.25">
      <c r="A33" s="32">
        <v>44673</v>
      </c>
      <c r="B33" s="1">
        <v>13</v>
      </c>
      <c r="C33" s="1" t="s">
        <v>12</v>
      </c>
      <c r="D33" s="1" t="s">
        <v>43</v>
      </c>
      <c r="E33" s="1" t="s">
        <v>43</v>
      </c>
      <c r="F33" s="1" t="s">
        <v>17</v>
      </c>
      <c r="G33" s="1" t="s">
        <v>11</v>
      </c>
      <c r="H33" s="1" t="s">
        <v>9</v>
      </c>
      <c r="I33" s="13">
        <v>98.9</v>
      </c>
      <c r="J33" s="13">
        <v>97.3</v>
      </c>
      <c r="K33" s="13">
        <v>94.2</v>
      </c>
      <c r="L33" s="14" t="str">
        <f>IF(D4_Abs_Cal_Comp[[#This Row],[Date]]="","",IF(D4_Abs_Cal_Comp[[#This Row],[Date]]&lt;=DATE(2022,4,29),"Before","After"))</f>
        <v>Before</v>
      </c>
    </row>
    <row r="34" spans="1:12" ht="15.75" thickBot="1" x14ac:dyDescent="0.3">
      <c r="A34" s="34">
        <v>44691</v>
      </c>
      <c r="B34" s="30">
        <v>13</v>
      </c>
      <c r="C34" s="30" t="s">
        <v>12</v>
      </c>
      <c r="D34" s="30" t="s">
        <v>43</v>
      </c>
      <c r="E34" s="30" t="s">
        <v>43</v>
      </c>
      <c r="F34" s="30" t="s">
        <v>17</v>
      </c>
      <c r="G34" s="30" t="s">
        <v>13</v>
      </c>
      <c r="H34" s="30" t="s">
        <v>9</v>
      </c>
      <c r="I34" s="31">
        <v>95.3</v>
      </c>
      <c r="J34" s="31">
        <v>85.3</v>
      </c>
      <c r="K34" s="31">
        <v>80.400000000000006</v>
      </c>
      <c r="L34" s="35" t="str">
        <f>IF(D4_Abs_Cal_Comp[[#This Row],[Date]]="","",IF(D4_Abs_Cal_Comp[[#This Row],[Date]]&lt;=DATE(2022,4,29),"Before","After"))</f>
        <v>After</v>
      </c>
    </row>
    <row r="35" spans="1:12" x14ac:dyDescent="0.25">
      <c r="A35" s="32">
        <v>44663</v>
      </c>
      <c r="B35" s="1">
        <v>14</v>
      </c>
      <c r="C35" s="1" t="s">
        <v>12</v>
      </c>
      <c r="D35" s="1" t="s">
        <v>45</v>
      </c>
      <c r="E35" s="1" t="s">
        <v>57</v>
      </c>
      <c r="F35" s="1" t="s">
        <v>17</v>
      </c>
      <c r="G35" s="1" t="s">
        <v>11</v>
      </c>
      <c r="H35" s="1" t="s">
        <v>9</v>
      </c>
      <c r="I35" s="13">
        <v>97.1</v>
      </c>
      <c r="J35" s="13">
        <v>98.1</v>
      </c>
      <c r="K35" s="13">
        <v>99.8</v>
      </c>
      <c r="L35" s="14" t="str">
        <f>IF(D4_Abs_Cal_Comp[[#This Row],[Date]]="","",IF(D4_Abs_Cal_Comp[[#This Row],[Date]]&lt;=DATE(2022,4,29),"Before","After"))</f>
        <v>Before</v>
      </c>
    </row>
    <row r="36" spans="1:12" ht="15.75" thickBot="1" x14ac:dyDescent="0.3">
      <c r="A36" s="34">
        <v>44684</v>
      </c>
      <c r="B36" s="30">
        <v>15</v>
      </c>
      <c r="C36" s="30" t="s">
        <v>54</v>
      </c>
      <c r="D36" s="30" t="s">
        <v>47</v>
      </c>
      <c r="E36" s="30" t="s">
        <v>47</v>
      </c>
      <c r="F36" s="30" t="s">
        <v>17</v>
      </c>
      <c r="G36" s="30" t="s">
        <v>13</v>
      </c>
      <c r="H36" s="30" t="s">
        <v>9</v>
      </c>
      <c r="I36" s="31">
        <v>99.5</v>
      </c>
      <c r="J36" s="31">
        <v>97.7</v>
      </c>
      <c r="K36" s="31">
        <v>97.4</v>
      </c>
      <c r="L36" s="35" t="str">
        <f>IF(D4_Abs_Cal_Comp[[#This Row],[Date]]="","",IF(D4_Abs_Cal_Comp[[#This Row],[Date]]&lt;=DATE(2022,4,29),"Before","After"))</f>
        <v>After</v>
      </c>
    </row>
    <row r="37" spans="1:12" x14ac:dyDescent="0.25">
      <c r="A37" s="32">
        <v>44664</v>
      </c>
      <c r="B37" s="1">
        <v>16</v>
      </c>
      <c r="C37" s="1" t="s">
        <v>53</v>
      </c>
      <c r="D37" s="1" t="s">
        <v>45</v>
      </c>
      <c r="E37" s="1" t="s">
        <v>57</v>
      </c>
      <c r="F37" s="1" t="s">
        <v>17</v>
      </c>
      <c r="G37" s="1" t="s">
        <v>11</v>
      </c>
      <c r="H37" s="1" t="s">
        <v>9</v>
      </c>
      <c r="I37" s="13">
        <v>94.5</v>
      </c>
      <c r="J37" s="13">
        <v>96.7</v>
      </c>
      <c r="K37" s="13">
        <v>93.5</v>
      </c>
      <c r="L37" s="14" t="str">
        <f>IF(D4_Abs_Cal_Comp[[#This Row],[Date]]="","",IF(D4_Abs_Cal_Comp[[#This Row],[Date]]&lt;=DATE(2022,4,29),"Before","After"))</f>
        <v>Before</v>
      </c>
    </row>
    <row r="38" spans="1:12" ht="15.75" thickBot="1" x14ac:dyDescent="0.3">
      <c r="A38" s="34">
        <v>44691</v>
      </c>
      <c r="B38" s="30">
        <v>16</v>
      </c>
      <c r="C38" s="30" t="s">
        <v>53</v>
      </c>
      <c r="D38" s="30" t="s">
        <v>45</v>
      </c>
      <c r="E38" s="30" t="s">
        <v>57</v>
      </c>
      <c r="F38" s="30" t="s">
        <v>17</v>
      </c>
      <c r="G38" s="30" t="s">
        <v>13</v>
      </c>
      <c r="H38" s="30" t="s">
        <v>13</v>
      </c>
      <c r="I38" s="31">
        <v>99.6</v>
      </c>
      <c r="J38" s="31">
        <v>99.1</v>
      </c>
      <c r="K38" s="31">
        <v>99.8</v>
      </c>
      <c r="L38" s="35" t="str">
        <f>IF(D4_Abs_Cal_Comp[[#This Row],[Date]]="","",IF(D4_Abs_Cal_Comp[[#This Row],[Date]]&lt;=DATE(2022,4,29),"Before","After"))</f>
        <v>After</v>
      </c>
    </row>
    <row r="39" spans="1:12" x14ac:dyDescent="0.25">
      <c r="A39" s="32">
        <v>44683</v>
      </c>
      <c r="B39" s="1">
        <v>17</v>
      </c>
      <c r="C39" s="1" t="s">
        <v>12</v>
      </c>
      <c r="D39" s="1" t="s">
        <v>8</v>
      </c>
      <c r="E39" s="1" t="s">
        <v>57</v>
      </c>
      <c r="F39" s="1" t="s">
        <v>18</v>
      </c>
      <c r="G39" s="1" t="s">
        <v>11</v>
      </c>
      <c r="H39" s="1" t="s">
        <v>9</v>
      </c>
      <c r="I39" s="13">
        <v>99.7</v>
      </c>
      <c r="J39" s="13">
        <v>100</v>
      </c>
      <c r="K39" s="13">
        <v>99.7</v>
      </c>
      <c r="L39" s="14" t="str">
        <f>IF(D4_Abs_Cal_Comp[[#This Row],[Date]]="","",IF(D4_Abs_Cal_Comp[[#This Row],[Date]]&lt;=DATE(2022,4,29),"Before","After"))</f>
        <v>After</v>
      </c>
    </row>
    <row r="40" spans="1:12" ht="15.75" thickBot="1" x14ac:dyDescent="0.3">
      <c r="A40" s="34">
        <v>44683</v>
      </c>
      <c r="B40" s="30">
        <v>17</v>
      </c>
      <c r="C40" s="30" t="s">
        <v>12</v>
      </c>
      <c r="D40" s="30" t="s">
        <v>8</v>
      </c>
      <c r="E40" s="30" t="s">
        <v>57</v>
      </c>
      <c r="F40" s="30" t="s">
        <v>18</v>
      </c>
      <c r="G40" s="30" t="s">
        <v>13</v>
      </c>
      <c r="H40" s="30" t="s">
        <v>9</v>
      </c>
      <c r="I40" s="31">
        <v>100</v>
      </c>
      <c r="J40" s="31">
        <v>100</v>
      </c>
      <c r="K40" s="31">
        <v>100</v>
      </c>
      <c r="L40" s="35" t="str">
        <f>IF(D4_Abs_Cal_Comp[[#This Row],[Date]]="","",IF(D4_Abs_Cal_Comp[[#This Row],[Date]]&lt;=DATE(2022,4,29),"Before","After"))</f>
        <v>After</v>
      </c>
    </row>
    <row r="41" spans="1:12" x14ac:dyDescent="0.25">
      <c r="A41" s="32">
        <v>44676</v>
      </c>
      <c r="B41" s="1">
        <v>18</v>
      </c>
      <c r="C41" s="1" t="s">
        <v>55</v>
      </c>
      <c r="D41" s="1" t="s">
        <v>8</v>
      </c>
      <c r="E41" s="1" t="s">
        <v>57</v>
      </c>
      <c r="F41" s="1" t="s">
        <v>17</v>
      </c>
      <c r="G41" s="1" t="s">
        <v>11</v>
      </c>
      <c r="H41" s="1" t="s">
        <v>9</v>
      </c>
      <c r="I41" s="13">
        <v>99.6</v>
      </c>
      <c r="J41" s="13">
        <v>99.6</v>
      </c>
      <c r="K41" s="13">
        <v>99.8</v>
      </c>
      <c r="L41" s="14" t="str">
        <f>IF(D4_Abs_Cal_Comp[[#This Row],[Date]]="","",IF(D4_Abs_Cal_Comp[[#This Row],[Date]]&lt;=DATE(2022,4,29),"Before","After"))</f>
        <v>Before</v>
      </c>
    </row>
    <row r="42" spans="1:12" ht="15.75" thickBot="1" x14ac:dyDescent="0.3">
      <c r="A42" s="34">
        <v>44678</v>
      </c>
      <c r="B42" s="30">
        <v>18</v>
      </c>
      <c r="C42" s="30" t="s">
        <v>55</v>
      </c>
      <c r="D42" s="30" t="s">
        <v>8</v>
      </c>
      <c r="E42" s="30" t="s">
        <v>57</v>
      </c>
      <c r="F42" s="30" t="s">
        <v>17</v>
      </c>
      <c r="G42" s="30" t="s">
        <v>13</v>
      </c>
      <c r="H42" s="30" t="s">
        <v>9</v>
      </c>
      <c r="I42" s="31">
        <v>99.2</v>
      </c>
      <c r="J42" s="31">
        <v>98.5</v>
      </c>
      <c r="K42" s="31">
        <v>99.2</v>
      </c>
      <c r="L42" s="35" t="str">
        <f>IF(D4_Abs_Cal_Comp[[#This Row],[Date]]="","",IF(D4_Abs_Cal_Comp[[#This Row],[Date]]&lt;=DATE(2022,4,29),"Before","After"))</f>
        <v>Before</v>
      </c>
    </row>
    <row r="43" spans="1:12" ht="15.75" thickBot="1" x14ac:dyDescent="0.3">
      <c r="A43" s="52">
        <v>44673</v>
      </c>
      <c r="B43" s="53">
        <v>19</v>
      </c>
      <c r="C43" s="53" t="s">
        <v>12</v>
      </c>
      <c r="D43" s="53" t="s">
        <v>8</v>
      </c>
      <c r="E43" s="53" t="s">
        <v>57</v>
      </c>
      <c r="F43" s="53" t="s">
        <v>17</v>
      </c>
      <c r="G43" s="53" t="s">
        <v>11</v>
      </c>
      <c r="H43" s="53" t="s">
        <v>9</v>
      </c>
      <c r="I43" s="54">
        <v>100</v>
      </c>
      <c r="J43" s="54">
        <v>99.3</v>
      </c>
      <c r="K43" s="54">
        <v>99.7</v>
      </c>
      <c r="L43" s="55" t="str">
        <f>IF(D4_Abs_Cal_Comp[[#This Row],[Date]]="","",IF(D4_Abs_Cal_Comp[[#This Row],[Date]]&lt;=DATE(2022,4,29),"Before","After"))</f>
        <v>Before</v>
      </c>
    </row>
    <row r="44" spans="1:12" x14ac:dyDescent="0.25">
      <c r="A44" s="32">
        <v>44697</v>
      </c>
      <c r="B44" s="1">
        <v>18</v>
      </c>
      <c r="C44" s="1" t="s">
        <v>55</v>
      </c>
      <c r="D44" s="1" t="s">
        <v>71</v>
      </c>
      <c r="E44" s="1" t="s">
        <v>57</v>
      </c>
      <c r="F44" s="1" t="s">
        <v>17</v>
      </c>
      <c r="G44" s="1" t="s">
        <v>11</v>
      </c>
      <c r="H44" s="1" t="s">
        <v>9</v>
      </c>
      <c r="I44" s="13">
        <v>99.9</v>
      </c>
      <c r="J44" s="13">
        <v>99.8</v>
      </c>
      <c r="K44" s="13">
        <v>99.8</v>
      </c>
      <c r="L44" s="14" t="str">
        <f>IF(D4_Abs_Cal_Comp[[#This Row],[Date]]="","",IF(D4_Abs_Cal_Comp[[#This Row],[Date]]&lt;=DATE(2022,4,29),"Before","After"))</f>
        <v>After</v>
      </c>
    </row>
    <row r="45" spans="1:12" ht="15.75" thickBot="1" x14ac:dyDescent="0.3">
      <c r="A45" s="34">
        <v>44697</v>
      </c>
      <c r="B45" s="30">
        <v>18</v>
      </c>
      <c r="C45" s="30" t="s">
        <v>55</v>
      </c>
      <c r="D45" s="30" t="s">
        <v>71</v>
      </c>
      <c r="E45" s="30" t="s">
        <v>57</v>
      </c>
      <c r="F45" s="30" t="s">
        <v>17</v>
      </c>
      <c r="G45" s="30" t="s">
        <v>13</v>
      </c>
      <c r="H45" s="30" t="s">
        <v>13</v>
      </c>
      <c r="I45" s="31">
        <v>96.2</v>
      </c>
      <c r="J45" s="31">
        <v>98.5</v>
      </c>
      <c r="K45" s="31">
        <v>96.5</v>
      </c>
      <c r="L45" s="35" t="str">
        <f>IF(D4_Abs_Cal_Comp[[#This Row],[Date]]="","",IF(D4_Abs_Cal_Comp[[#This Row],[Date]]&lt;=DATE(2022,4,29),"Before","After"))</f>
        <v>After</v>
      </c>
    </row>
    <row r="46" spans="1:12" x14ac:dyDescent="0.25">
      <c r="A46" s="32">
        <v>44697</v>
      </c>
      <c r="B46" s="1">
        <v>20</v>
      </c>
      <c r="C46" s="1" t="s">
        <v>25</v>
      </c>
      <c r="D46" s="1" t="s">
        <v>25</v>
      </c>
      <c r="E46" s="1" t="s">
        <v>22</v>
      </c>
      <c r="F46" s="1" t="s">
        <v>17</v>
      </c>
      <c r="G46" s="1" t="s">
        <v>11</v>
      </c>
      <c r="H46" s="1" t="s">
        <v>9</v>
      </c>
      <c r="I46" s="13">
        <v>99.5</v>
      </c>
      <c r="J46" s="13">
        <v>98.9</v>
      </c>
      <c r="K46" s="13">
        <v>98.9</v>
      </c>
      <c r="L46" s="14" t="str">
        <f>IF(D4_Abs_Cal_Comp[[#This Row],[Date]]="","",IF(D4_Abs_Cal_Comp[[#This Row],[Date]]&lt;=DATE(2022,4,29),"Before","After"))</f>
        <v>After</v>
      </c>
    </row>
    <row r="47" spans="1:12" ht="15.75" thickBot="1" x14ac:dyDescent="0.3">
      <c r="A47" s="34">
        <v>44697</v>
      </c>
      <c r="B47" s="30">
        <v>20</v>
      </c>
      <c r="C47" s="30" t="s">
        <v>25</v>
      </c>
      <c r="D47" s="30" t="s">
        <v>25</v>
      </c>
      <c r="E47" s="30" t="s">
        <v>22</v>
      </c>
      <c r="F47" s="30" t="s">
        <v>17</v>
      </c>
      <c r="G47" s="30" t="s">
        <v>13</v>
      </c>
      <c r="H47" s="30" t="s">
        <v>13</v>
      </c>
      <c r="I47" s="31">
        <v>98.7</v>
      </c>
      <c r="J47" s="31">
        <v>95.6</v>
      </c>
      <c r="K47" s="31">
        <v>94.2</v>
      </c>
      <c r="L47" s="35" t="str">
        <f>IF(D4_Abs_Cal_Comp[[#This Row],[Date]]="","",IF(D4_Abs_Cal_Comp[[#This Row],[Date]]&lt;=DATE(2022,4,29),"Before","After"))</f>
        <v>After</v>
      </c>
    </row>
    <row r="48" spans="1:12" x14ac:dyDescent="0.25">
      <c r="A48" s="32">
        <v>44697</v>
      </c>
      <c r="B48" s="1">
        <v>20</v>
      </c>
      <c r="C48" s="1" t="s">
        <v>25</v>
      </c>
      <c r="D48" s="1" t="s">
        <v>70</v>
      </c>
      <c r="E48" s="1" t="s">
        <v>22</v>
      </c>
      <c r="F48" s="1" t="s">
        <v>17</v>
      </c>
      <c r="G48" s="1" t="s">
        <v>11</v>
      </c>
      <c r="H48" s="1" t="s">
        <v>9</v>
      </c>
      <c r="I48" s="13">
        <v>98.6</v>
      </c>
      <c r="J48" s="13">
        <v>99.9</v>
      </c>
      <c r="K48" s="13">
        <v>99.1</v>
      </c>
      <c r="L48" s="14" t="str">
        <f>IF(D4_Abs_Cal_Comp[[#This Row],[Date]]="","",IF(D4_Abs_Cal_Comp[[#This Row],[Date]]&lt;=DATE(2022,4,29),"Before","After"))</f>
        <v>After</v>
      </c>
    </row>
    <row r="49" spans="1:12" ht="15.75" thickBot="1" x14ac:dyDescent="0.3">
      <c r="A49" s="34">
        <v>44697</v>
      </c>
      <c r="B49" s="30">
        <v>20</v>
      </c>
      <c r="C49" s="30" t="s">
        <v>25</v>
      </c>
      <c r="D49" s="30" t="s">
        <v>70</v>
      </c>
      <c r="E49" s="30" t="s">
        <v>22</v>
      </c>
      <c r="F49" s="30" t="s">
        <v>17</v>
      </c>
      <c r="G49" s="30" t="s">
        <v>13</v>
      </c>
      <c r="H49" s="30" t="s">
        <v>13</v>
      </c>
      <c r="I49" s="31">
        <v>99.6</v>
      </c>
      <c r="J49" s="31">
        <v>96</v>
      </c>
      <c r="K49" s="31">
        <v>96.2</v>
      </c>
      <c r="L49" s="35" t="str">
        <f>IF(D4_Abs_Cal_Comp[[#This Row],[Date]]="","",IF(D4_Abs_Cal_Comp[[#This Row],[Date]]&lt;=DATE(2022,4,29),"Before","After"))</f>
        <v>After</v>
      </c>
    </row>
    <row r="50" spans="1:12" x14ac:dyDescent="0.25">
      <c r="A50" s="32">
        <v>44698</v>
      </c>
      <c r="B50" s="1">
        <v>21</v>
      </c>
      <c r="C50" s="1" t="s">
        <v>23</v>
      </c>
      <c r="D50" s="1" t="s">
        <v>73</v>
      </c>
      <c r="E50" s="1" t="s">
        <v>75</v>
      </c>
      <c r="F50" s="1" t="s">
        <v>17</v>
      </c>
      <c r="G50" s="1" t="s">
        <v>11</v>
      </c>
      <c r="H50" s="1" t="s">
        <v>9</v>
      </c>
      <c r="I50" s="13">
        <v>99.4</v>
      </c>
      <c r="J50" s="13">
        <v>99.5</v>
      </c>
      <c r="K50" s="13">
        <v>99.8</v>
      </c>
      <c r="L50" s="14" t="str">
        <f>IF(D4_Abs_Cal_Comp[[#This Row],[Date]]="","",IF(D4_Abs_Cal_Comp[[#This Row],[Date]]&lt;=DATE(2022,4,29),"Before","After"))</f>
        <v>After</v>
      </c>
    </row>
    <row r="51" spans="1:12" ht="15.75" thickBot="1" x14ac:dyDescent="0.3">
      <c r="A51" s="34">
        <v>44698</v>
      </c>
      <c r="B51" s="30">
        <v>21</v>
      </c>
      <c r="C51" s="30" t="s">
        <v>23</v>
      </c>
      <c r="D51" s="30" t="s">
        <v>73</v>
      </c>
      <c r="E51" s="30" t="s">
        <v>75</v>
      </c>
      <c r="F51" s="30" t="s">
        <v>17</v>
      </c>
      <c r="G51" s="30" t="s">
        <v>13</v>
      </c>
      <c r="H51" s="30" t="s">
        <v>13</v>
      </c>
      <c r="I51" s="31">
        <v>94.3</v>
      </c>
      <c r="J51" s="31">
        <v>91.5</v>
      </c>
      <c r="K51" s="31">
        <v>89</v>
      </c>
      <c r="L51" s="35" t="str">
        <f>IF(D4_Abs_Cal_Comp[[#This Row],[Date]]="","",IF(D4_Abs_Cal_Comp[[#This Row],[Date]]&lt;=DATE(2022,4,29),"Before","After"))</f>
        <v>After</v>
      </c>
    </row>
    <row r="52" spans="1:12" x14ac:dyDescent="0.25">
      <c r="A52" s="32">
        <v>44698</v>
      </c>
      <c r="B52" s="1">
        <v>21</v>
      </c>
      <c r="C52" s="1" t="s">
        <v>23</v>
      </c>
      <c r="D52" s="1" t="s">
        <v>74</v>
      </c>
      <c r="E52" s="1" t="s">
        <v>75</v>
      </c>
      <c r="F52" s="1" t="s">
        <v>17</v>
      </c>
      <c r="G52" s="1" t="s">
        <v>11</v>
      </c>
      <c r="H52" s="1" t="s">
        <v>9</v>
      </c>
      <c r="I52" s="13">
        <v>96.4</v>
      </c>
      <c r="J52" s="13">
        <v>99.7</v>
      </c>
      <c r="K52" s="13">
        <v>93.8</v>
      </c>
      <c r="L52" s="14" t="str">
        <f>IF(D4_Abs_Cal_Comp[[#This Row],[Date]]="","",IF(D4_Abs_Cal_Comp[[#This Row],[Date]]&lt;=DATE(2022,4,29),"Before","After"))</f>
        <v>After</v>
      </c>
    </row>
    <row r="53" spans="1:12" ht="15.75" thickBot="1" x14ac:dyDescent="0.3">
      <c r="A53" s="34">
        <v>44698</v>
      </c>
      <c r="B53" s="30">
        <v>21</v>
      </c>
      <c r="C53" s="30" t="s">
        <v>23</v>
      </c>
      <c r="D53" s="30" t="s">
        <v>74</v>
      </c>
      <c r="E53" s="30" t="s">
        <v>75</v>
      </c>
      <c r="F53" s="30" t="s">
        <v>17</v>
      </c>
      <c r="G53" s="30" t="s">
        <v>13</v>
      </c>
      <c r="H53" s="30" t="s">
        <v>13</v>
      </c>
      <c r="I53" s="31">
        <v>96.9</v>
      </c>
      <c r="J53" s="31">
        <v>85</v>
      </c>
      <c r="K53" s="31">
        <v>89.3</v>
      </c>
      <c r="L53" s="35" t="str">
        <f>IF(D4_Abs_Cal_Comp[[#This Row],[Date]]="","",IF(D4_Abs_Cal_Comp[[#This Row],[Date]]&lt;=DATE(2022,4,29),"Before","After"))</f>
        <v>After</v>
      </c>
    </row>
    <row r="54" spans="1:12" x14ac:dyDescent="0.25">
      <c r="A54" s="32">
        <v>44701</v>
      </c>
      <c r="B54" s="1">
        <v>22</v>
      </c>
      <c r="C54" s="1" t="s">
        <v>23</v>
      </c>
      <c r="D54" s="1" t="s">
        <v>78</v>
      </c>
      <c r="E54" s="1" t="s">
        <v>78</v>
      </c>
      <c r="F54" s="1" t="s">
        <v>17</v>
      </c>
      <c r="G54" s="1" t="s">
        <v>11</v>
      </c>
      <c r="H54" s="1" t="s">
        <v>9</v>
      </c>
      <c r="I54" s="13">
        <v>99.1</v>
      </c>
      <c r="J54" s="13">
        <v>99.7</v>
      </c>
      <c r="K54" s="13">
        <v>98.9</v>
      </c>
      <c r="L54" s="14" t="str">
        <f>IF(D4_Abs_Cal_Comp[[#This Row],[Date]]="","",IF(D4_Abs_Cal_Comp[[#This Row],[Date]]&lt;=DATE(2022,4,29),"Before","After"))</f>
        <v>After</v>
      </c>
    </row>
    <row r="55" spans="1:12" ht="15.75" thickBot="1" x14ac:dyDescent="0.3">
      <c r="A55" s="34">
        <v>44701</v>
      </c>
      <c r="B55" s="30">
        <v>22</v>
      </c>
      <c r="C55" s="30" t="s">
        <v>23</v>
      </c>
      <c r="D55" s="30" t="s">
        <v>78</v>
      </c>
      <c r="E55" s="30" t="s">
        <v>78</v>
      </c>
      <c r="F55" s="30" t="s">
        <v>17</v>
      </c>
      <c r="G55" s="30" t="s">
        <v>13</v>
      </c>
      <c r="H55" s="30" t="s">
        <v>13</v>
      </c>
      <c r="I55" s="31">
        <v>96.2</v>
      </c>
      <c r="J55" s="31">
        <v>96.2</v>
      </c>
      <c r="K55" s="31">
        <v>91.3</v>
      </c>
      <c r="L55" s="35" t="str">
        <f>IF(D4_Abs_Cal_Comp[[#This Row],[Date]]="","",IF(D4_Abs_Cal_Comp[[#This Row],[Date]]&lt;=DATE(2022,4,29),"Before","After"))</f>
        <v>After</v>
      </c>
    </row>
    <row r="56" spans="1:12" x14ac:dyDescent="0.25">
      <c r="A56" s="32">
        <v>44701</v>
      </c>
      <c r="B56" s="1">
        <v>23</v>
      </c>
      <c r="C56" s="1" t="s">
        <v>23</v>
      </c>
      <c r="D56" s="1" t="s">
        <v>78</v>
      </c>
      <c r="E56" s="1" t="s">
        <v>78</v>
      </c>
      <c r="F56" s="1" t="s">
        <v>17</v>
      </c>
      <c r="G56" s="1" t="s">
        <v>11</v>
      </c>
      <c r="H56" s="1" t="s">
        <v>9</v>
      </c>
      <c r="I56" s="13">
        <v>99.9</v>
      </c>
      <c r="J56" s="13">
        <v>99.7</v>
      </c>
      <c r="K56" s="13">
        <v>99.8</v>
      </c>
      <c r="L56" s="14" t="str">
        <f>IF(D4_Abs_Cal_Comp[[#This Row],[Date]]="","",IF(D4_Abs_Cal_Comp[[#This Row],[Date]]&lt;=DATE(2022,4,29),"Before","After"))</f>
        <v>After</v>
      </c>
    </row>
    <row r="57" spans="1:12" ht="15.75" thickBot="1" x14ac:dyDescent="0.3">
      <c r="A57" s="34">
        <v>44701</v>
      </c>
      <c r="B57" s="30">
        <v>23</v>
      </c>
      <c r="C57" s="30" t="s">
        <v>23</v>
      </c>
      <c r="D57" s="30" t="s">
        <v>78</v>
      </c>
      <c r="E57" s="30" t="s">
        <v>78</v>
      </c>
      <c r="F57" s="30" t="s">
        <v>17</v>
      </c>
      <c r="G57" s="30" t="s">
        <v>13</v>
      </c>
      <c r="H57" s="30" t="s">
        <v>13</v>
      </c>
      <c r="I57" s="31">
        <v>98.1</v>
      </c>
      <c r="J57" s="31">
        <v>96.8</v>
      </c>
      <c r="K57" s="31">
        <v>92.7</v>
      </c>
      <c r="L57" s="35" t="str">
        <f>IF(D4_Abs_Cal_Comp[[#This Row],[Date]]="","",IF(D4_Abs_Cal_Comp[[#This Row],[Date]]&lt;=DATE(2022,4,29),"Before","After"))</f>
        <v>After</v>
      </c>
    </row>
    <row r="58" spans="1:12" x14ac:dyDescent="0.25">
      <c r="A58" s="32">
        <v>44712</v>
      </c>
      <c r="B58" s="1">
        <v>24</v>
      </c>
      <c r="C58" s="1" t="s">
        <v>23</v>
      </c>
      <c r="D58" s="1" t="s">
        <v>100</v>
      </c>
      <c r="E58" s="1" t="s">
        <v>100</v>
      </c>
      <c r="F58" s="1" t="s">
        <v>17</v>
      </c>
      <c r="G58" s="1" t="s">
        <v>11</v>
      </c>
      <c r="H58" s="1" t="s">
        <v>9</v>
      </c>
      <c r="I58" s="13">
        <v>99.8</v>
      </c>
      <c r="J58" s="13">
        <v>99.7</v>
      </c>
      <c r="K58" s="13">
        <v>98.7</v>
      </c>
      <c r="L58" s="14" t="str">
        <f>IF(D4_Abs_Cal_Comp[[#This Row],[Date]]="","",IF(D4_Abs_Cal_Comp[[#This Row],[Date]]&lt;=DATE(2022,4,29),"Before","After"))</f>
        <v>After</v>
      </c>
    </row>
    <row r="59" spans="1:12" x14ac:dyDescent="0.25">
      <c r="A59" s="33">
        <v>44712</v>
      </c>
      <c r="B59" s="2">
        <v>24</v>
      </c>
      <c r="C59" s="2" t="s">
        <v>23</v>
      </c>
      <c r="D59" s="2" t="s">
        <v>100</v>
      </c>
      <c r="E59" s="2" t="s">
        <v>100</v>
      </c>
      <c r="F59" s="2" t="s">
        <v>17</v>
      </c>
      <c r="G59" s="2" t="s">
        <v>11</v>
      </c>
      <c r="H59" s="2" t="s">
        <v>13</v>
      </c>
      <c r="I59" s="15">
        <v>99.1</v>
      </c>
      <c r="J59" s="15">
        <v>99.5</v>
      </c>
      <c r="K59" s="15">
        <v>98.4</v>
      </c>
      <c r="L59" s="16" t="str">
        <f>IF(D4_Abs_Cal_Comp[[#This Row],[Date]]="","",IF(D4_Abs_Cal_Comp[[#This Row],[Date]]&lt;=DATE(2022,4,29),"Before","After"))</f>
        <v>After</v>
      </c>
    </row>
    <row r="60" spans="1:12" ht="15.75" thickBot="1" x14ac:dyDescent="0.3">
      <c r="A60" s="34">
        <v>44712</v>
      </c>
      <c r="B60" s="30">
        <v>24</v>
      </c>
      <c r="C60" s="30" t="s">
        <v>23</v>
      </c>
      <c r="D60" s="30" t="s">
        <v>100</v>
      </c>
      <c r="E60" s="30" t="s">
        <v>100</v>
      </c>
      <c r="F60" s="30" t="s">
        <v>17</v>
      </c>
      <c r="G60" s="30" t="s">
        <v>13</v>
      </c>
      <c r="H60" s="30" t="s">
        <v>13</v>
      </c>
      <c r="I60" s="31">
        <v>91.5</v>
      </c>
      <c r="J60" s="31">
        <v>92</v>
      </c>
      <c r="K60" s="31">
        <v>73.599999999999994</v>
      </c>
      <c r="L60" s="35" t="str">
        <f>IF(D4_Abs_Cal_Comp[[#This Row],[Date]]="","",IF(D4_Abs_Cal_Comp[[#This Row],[Date]]&lt;=DATE(2022,4,29),"Before","After"))</f>
        <v>After</v>
      </c>
    </row>
    <row r="61" spans="1:12" x14ac:dyDescent="0.25">
      <c r="A61" s="32">
        <v>44715</v>
      </c>
      <c r="B61" s="1">
        <v>25</v>
      </c>
      <c r="C61" s="1" t="s">
        <v>12</v>
      </c>
      <c r="D61" s="1" t="s">
        <v>8</v>
      </c>
      <c r="E61" s="1" t="s">
        <v>57</v>
      </c>
      <c r="F61" s="1" t="s">
        <v>17</v>
      </c>
      <c r="G61" s="1" t="s">
        <v>11</v>
      </c>
      <c r="H61" s="1" t="s">
        <v>9</v>
      </c>
      <c r="I61" s="13">
        <v>99.4</v>
      </c>
      <c r="J61" s="13">
        <v>99.4</v>
      </c>
      <c r="K61" s="13">
        <v>99.5</v>
      </c>
      <c r="L61" s="14" t="str">
        <f>IF(D4_Abs_Cal_Comp[[#This Row],[Date]]="","",IF(D4_Abs_Cal_Comp[[#This Row],[Date]]&lt;=DATE(2022,4,29),"Before","After"))</f>
        <v>After</v>
      </c>
    </row>
    <row r="62" spans="1:12" ht="15.75" thickBot="1" x14ac:dyDescent="0.3">
      <c r="A62" s="34">
        <v>44715</v>
      </c>
      <c r="B62" s="30">
        <v>25</v>
      </c>
      <c r="C62" s="30" t="s">
        <v>12</v>
      </c>
      <c r="D62" s="30" t="s">
        <v>8</v>
      </c>
      <c r="E62" s="30" t="s">
        <v>57</v>
      </c>
      <c r="F62" s="30" t="s">
        <v>17</v>
      </c>
      <c r="G62" s="30" t="s">
        <v>13</v>
      </c>
      <c r="H62" s="30" t="s">
        <v>13</v>
      </c>
      <c r="I62" s="31">
        <v>99.6</v>
      </c>
      <c r="J62" s="31">
        <v>99.6</v>
      </c>
      <c r="K62" s="31">
        <v>98.8</v>
      </c>
      <c r="L62" s="35" t="str">
        <f>IF(D4_Abs_Cal_Comp[[#This Row],[Date]]="","",IF(D4_Abs_Cal_Comp[[#This Row],[Date]]&lt;=DATE(2022,4,29),"Before","After"))</f>
        <v>After</v>
      </c>
    </row>
    <row r="63" spans="1:12" x14ac:dyDescent="0.25">
      <c r="A63" s="32">
        <v>44715</v>
      </c>
      <c r="B63" s="1">
        <v>26</v>
      </c>
      <c r="C63" s="1" t="s">
        <v>12</v>
      </c>
      <c r="D63" s="1" t="s">
        <v>8</v>
      </c>
      <c r="E63" s="1" t="s">
        <v>57</v>
      </c>
      <c r="F63" s="1" t="s">
        <v>18</v>
      </c>
      <c r="G63" s="1" t="s">
        <v>11</v>
      </c>
      <c r="H63" s="1" t="s">
        <v>9</v>
      </c>
      <c r="I63" s="13">
        <v>100</v>
      </c>
      <c r="J63" s="13">
        <v>99.7</v>
      </c>
      <c r="K63" s="13">
        <v>99.7</v>
      </c>
      <c r="L63" s="14" t="str">
        <f>IF(D4_Abs_Cal_Comp[[#This Row],[Date]]="","",IF(D4_Abs_Cal_Comp[[#This Row],[Date]]&lt;=DATE(2022,4,29),"Before","After"))</f>
        <v>After</v>
      </c>
    </row>
    <row r="64" spans="1:12" ht="15.75" thickBot="1" x14ac:dyDescent="0.3">
      <c r="A64" s="34">
        <v>44715</v>
      </c>
      <c r="B64" s="30">
        <v>26</v>
      </c>
      <c r="C64" s="30" t="s">
        <v>12</v>
      </c>
      <c r="D64" s="30" t="s">
        <v>8</v>
      </c>
      <c r="E64" s="30" t="s">
        <v>57</v>
      </c>
      <c r="F64" s="30" t="s">
        <v>18</v>
      </c>
      <c r="G64" s="30" t="s">
        <v>13</v>
      </c>
      <c r="H64" s="30" t="s">
        <v>13</v>
      </c>
      <c r="I64" s="31">
        <v>100</v>
      </c>
      <c r="J64" s="31">
        <v>99.7</v>
      </c>
      <c r="K64" s="31">
        <v>99.7</v>
      </c>
      <c r="L64" s="35" t="str">
        <f>IF(D4_Abs_Cal_Comp[[#This Row],[Date]]="","",IF(D4_Abs_Cal_Comp[[#This Row],[Date]]&lt;=DATE(2022,4,29),"Before","After"))</f>
        <v>After</v>
      </c>
    </row>
    <row r="65" spans="1:12" x14ac:dyDescent="0.25">
      <c r="A65" s="32">
        <v>44715</v>
      </c>
      <c r="B65" s="1">
        <v>27</v>
      </c>
      <c r="C65" s="1" t="s">
        <v>8</v>
      </c>
      <c r="D65" s="1" t="s">
        <v>35</v>
      </c>
      <c r="E65" s="1" t="s">
        <v>57</v>
      </c>
      <c r="F65" s="1" t="s">
        <v>17</v>
      </c>
      <c r="G65" s="1" t="s">
        <v>11</v>
      </c>
      <c r="H65" s="1" t="s">
        <v>9</v>
      </c>
      <c r="I65" s="13">
        <v>100</v>
      </c>
      <c r="J65" s="13">
        <v>99.7</v>
      </c>
      <c r="K65" s="13">
        <v>99.7</v>
      </c>
      <c r="L65" s="14" t="str">
        <f>IF(D4_Abs_Cal_Comp[[#This Row],[Date]]="","",IF(D4_Abs_Cal_Comp[[#This Row],[Date]]&lt;=DATE(2022,4,29),"Before","After"))</f>
        <v>After</v>
      </c>
    </row>
    <row r="66" spans="1:12" ht="15.75" thickBot="1" x14ac:dyDescent="0.3">
      <c r="A66" s="34">
        <v>44715</v>
      </c>
      <c r="B66" s="30">
        <v>27</v>
      </c>
      <c r="C66" s="30" t="s">
        <v>8</v>
      </c>
      <c r="D66" s="30" t="s">
        <v>35</v>
      </c>
      <c r="E66" s="30" t="s">
        <v>57</v>
      </c>
      <c r="F66" s="30" t="s">
        <v>17</v>
      </c>
      <c r="G66" s="30" t="s">
        <v>13</v>
      </c>
      <c r="H66" s="30" t="s">
        <v>13</v>
      </c>
      <c r="I66" s="31">
        <v>99.8</v>
      </c>
      <c r="J66" s="31">
        <v>100</v>
      </c>
      <c r="K66" s="31">
        <v>99.4</v>
      </c>
      <c r="L66" s="35" t="str">
        <f>IF(D4_Abs_Cal_Comp[[#This Row],[Date]]="","",IF(D4_Abs_Cal_Comp[[#This Row],[Date]]&lt;=DATE(2022,4,29),"Before","After"))</f>
        <v>After</v>
      </c>
    </row>
    <row r="67" spans="1:12" x14ac:dyDescent="0.25">
      <c r="A67" s="32">
        <v>44715</v>
      </c>
      <c r="B67" s="1">
        <v>28</v>
      </c>
      <c r="C67" s="1" t="s">
        <v>12</v>
      </c>
      <c r="D67" s="1" t="s">
        <v>43</v>
      </c>
      <c r="E67" s="1" t="s">
        <v>43</v>
      </c>
      <c r="F67" s="1" t="s">
        <v>17</v>
      </c>
      <c r="G67" s="1" t="s">
        <v>11</v>
      </c>
      <c r="H67" s="1" t="s">
        <v>9</v>
      </c>
      <c r="I67" s="13">
        <v>99.1</v>
      </c>
      <c r="J67" s="13">
        <v>99.7</v>
      </c>
      <c r="K67" s="13">
        <v>99.7</v>
      </c>
      <c r="L67" s="14" t="str">
        <f>IF(D4_Abs_Cal_Comp[[#This Row],[Date]]="","",IF(D4_Abs_Cal_Comp[[#This Row],[Date]]&lt;=DATE(2022,4,29),"Before","After"))</f>
        <v>After</v>
      </c>
    </row>
    <row r="68" spans="1:12" ht="15.75" thickBot="1" x14ac:dyDescent="0.3">
      <c r="A68" s="34">
        <v>44715</v>
      </c>
      <c r="B68" s="30">
        <v>28</v>
      </c>
      <c r="C68" s="30" t="s">
        <v>12</v>
      </c>
      <c r="D68" s="30" t="s">
        <v>43</v>
      </c>
      <c r="E68" s="30" t="s">
        <v>43</v>
      </c>
      <c r="F68" s="30" t="s">
        <v>17</v>
      </c>
      <c r="G68" s="30" t="s">
        <v>13</v>
      </c>
      <c r="H68" s="30" t="s">
        <v>13</v>
      </c>
      <c r="I68" s="31">
        <v>98.4</v>
      </c>
      <c r="J68" s="31">
        <v>97.1</v>
      </c>
      <c r="K68" s="31">
        <v>99.1</v>
      </c>
      <c r="L68" s="35" t="str">
        <f>IF(D4_Abs_Cal_Comp[[#This Row],[Date]]="","",IF(D4_Abs_Cal_Comp[[#This Row],[Date]]&lt;=DATE(2022,4,29),"Before","After"))</f>
        <v>After</v>
      </c>
    </row>
    <row r="69" spans="1:12" ht="15.75" thickBot="1" x14ac:dyDescent="0.3">
      <c r="A69" s="47">
        <v>44715</v>
      </c>
      <c r="B69" s="48">
        <v>29</v>
      </c>
      <c r="C69" s="48" t="s">
        <v>23</v>
      </c>
      <c r="D69" s="48" t="s">
        <v>22</v>
      </c>
      <c r="E69" s="48" t="s">
        <v>22</v>
      </c>
      <c r="F69" s="48" t="s">
        <v>17</v>
      </c>
      <c r="G69" s="48" t="s">
        <v>11</v>
      </c>
      <c r="H69" s="48" t="s">
        <v>9</v>
      </c>
      <c r="I69" s="49">
        <v>99.9</v>
      </c>
      <c r="J69" s="49">
        <v>99.6</v>
      </c>
      <c r="K69" s="49">
        <v>99.8</v>
      </c>
      <c r="L69" s="50" t="str">
        <f>IF(D4_Abs_Cal_Comp[[#This Row],[Date]]="","",IF(D4_Abs_Cal_Comp[[#This Row],[Date]]&lt;=DATE(2022,4,29),"Before","After"))</f>
        <v>After</v>
      </c>
    </row>
  </sheetData>
  <mergeCells count="2">
    <mergeCell ref="A2:K2"/>
    <mergeCell ref="A1:K1"/>
  </mergeCells>
  <conditionalFormatting sqref="H70:J1048576 I4:L69">
    <cfRule type="expression" dxfId="154" priority="238" stopIfTrue="1">
      <formula>AND(ISNUMBER(H4),H4&lt;90)</formula>
    </cfRule>
    <cfRule type="expression" dxfId="153" priority="239" stopIfTrue="1">
      <formula>AND(ISNUMBER(H4),H4&lt;95)</formula>
    </cfRule>
    <cfRule type="expression" dxfId="152" priority="240">
      <formula>ISNUMBER(H4)</formula>
    </cfRule>
  </conditionalFormatting>
  <conditionalFormatting sqref="I69:K69">
    <cfRule type="expression" dxfId="151" priority="28" stopIfTrue="1">
      <formula>AND(ISNUMBER(I69),I69&lt;90)</formula>
    </cfRule>
    <cfRule type="expression" dxfId="150" priority="29" stopIfTrue="1">
      <formula>AND(ISNUMBER(I69),I69&lt;95)</formula>
    </cfRule>
    <cfRule type="expression" dxfId="149" priority="30">
      <formula>ISNUMBER(I69)</formula>
    </cfRule>
  </conditionalFormatting>
  <conditionalFormatting sqref="I69:K69">
    <cfRule type="expression" dxfId="148" priority="25" stopIfTrue="1">
      <formula>AND(ISNUMBER(I69),I69&lt;90)</formula>
    </cfRule>
    <cfRule type="expression" dxfId="147" priority="26" stopIfTrue="1">
      <formula>AND(ISNUMBER(I69),I69&lt;95)</formula>
    </cfRule>
    <cfRule type="expression" dxfId="146" priority="27">
      <formula>ISNUMBER(I69)</formula>
    </cfRule>
  </conditionalFormatting>
  <conditionalFormatting sqref="I69:K69">
    <cfRule type="expression" dxfId="145" priority="22" stopIfTrue="1">
      <formula>AND(ISNUMBER(I69),I69&lt;90)</formula>
    </cfRule>
    <cfRule type="expression" dxfId="144" priority="23" stopIfTrue="1">
      <formula>AND(ISNUMBER(I69),I69&lt;95)</formula>
    </cfRule>
    <cfRule type="expression" dxfId="143" priority="24">
      <formula>ISNUMBER(I69)</formula>
    </cfRule>
  </conditionalFormatting>
  <conditionalFormatting sqref="I69:K69">
    <cfRule type="expression" dxfId="142" priority="19" stopIfTrue="1">
      <formula>AND(ISNUMBER(I69),I69&lt;90)</formula>
    </cfRule>
    <cfRule type="expression" dxfId="141" priority="20" stopIfTrue="1">
      <formula>AND(ISNUMBER(I69),I69&lt;95)</formula>
    </cfRule>
    <cfRule type="expression" dxfId="140" priority="21">
      <formula>ISNUMBER(I69)</formula>
    </cfRule>
  </conditionalFormatting>
  <conditionalFormatting sqref="I69:K69">
    <cfRule type="expression" dxfId="139" priority="16" stopIfTrue="1">
      <formula>AND(ISNUMBER(I69),I69&lt;90)</formula>
    </cfRule>
    <cfRule type="expression" dxfId="138" priority="17" stopIfTrue="1">
      <formula>AND(ISNUMBER(I69),I69&lt;95)</formula>
    </cfRule>
    <cfRule type="expression" dxfId="137" priority="18">
      <formula>ISNUMBER(I69)</formula>
    </cfRule>
  </conditionalFormatting>
  <conditionalFormatting sqref="I69:K69">
    <cfRule type="expression" dxfId="136" priority="13" stopIfTrue="1">
      <formula>AND(ISNUMBER(I69),I69&lt;90)</formula>
    </cfRule>
    <cfRule type="expression" dxfId="135" priority="14" stopIfTrue="1">
      <formula>AND(ISNUMBER(I69),I69&lt;95)</formula>
    </cfRule>
    <cfRule type="expression" dxfId="134" priority="15">
      <formula>ISNUMBER(I69)</formula>
    </cfRule>
  </conditionalFormatting>
  <conditionalFormatting sqref="I69:K69">
    <cfRule type="expression" dxfId="133" priority="10" stopIfTrue="1">
      <formula>AND(ISNUMBER(I69),I69&lt;90)</formula>
    </cfRule>
    <cfRule type="expression" dxfId="132" priority="11" stopIfTrue="1">
      <formula>AND(ISNUMBER(I69),I69&lt;95)</formula>
    </cfRule>
    <cfRule type="expression" dxfId="131" priority="12">
      <formula>ISNUMBER(I69)</formula>
    </cfRule>
  </conditionalFormatting>
  <conditionalFormatting sqref="I69:K69">
    <cfRule type="expression" dxfId="130" priority="7" stopIfTrue="1">
      <formula>AND(ISNUMBER(I69),I69&lt;90)</formula>
    </cfRule>
    <cfRule type="expression" dxfId="129" priority="8" stopIfTrue="1">
      <formula>AND(ISNUMBER(I69),I69&lt;95)</formula>
    </cfRule>
    <cfRule type="expression" dxfId="128" priority="9">
      <formula>ISNUMBER(I69)</formula>
    </cfRule>
  </conditionalFormatting>
  <conditionalFormatting sqref="I69:K69">
    <cfRule type="expression" dxfId="127" priority="4" stopIfTrue="1">
      <formula>AND(ISNUMBER(I69),I69&lt;90)</formula>
    </cfRule>
    <cfRule type="expression" dxfId="126" priority="5" stopIfTrue="1">
      <formula>AND(ISNUMBER(I69),I69&lt;95)</formula>
    </cfRule>
    <cfRule type="expression" dxfId="125" priority="6">
      <formula>ISNUMBER(I69)</formula>
    </cfRule>
  </conditionalFormatting>
  <conditionalFormatting sqref="I69:K69">
    <cfRule type="expression" dxfId="124" priority="1" stopIfTrue="1">
      <formula>AND(ISNUMBER(I69),I69&lt;90)</formula>
    </cfRule>
    <cfRule type="expression" dxfId="123" priority="2" stopIfTrue="1">
      <formula>AND(ISNUMBER(I69),I69&lt;95)</formula>
    </cfRule>
    <cfRule type="expression" dxfId="122" priority="3">
      <formula>ISNUMBER(I69)</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UpdateAnalysis">
                <anchor moveWithCells="1" sizeWithCells="1">
                  <from>
                    <xdr:col>13</xdr:col>
                    <xdr:colOff>9525</xdr:colOff>
                    <xdr:row>3</xdr:row>
                    <xdr:rowOff>19050</xdr:rowOff>
                  </from>
                  <to>
                    <xdr:col>16</xdr:col>
                    <xdr:colOff>19050</xdr:colOff>
                    <xdr:row>4</xdr:row>
                    <xdr:rowOff>19050</xdr:rowOff>
                  </to>
                </anchor>
              </controlPr>
            </control>
          </mc:Choice>
        </mc:AlternateContent>
        <mc:AlternateContent xmlns:mc="http://schemas.openxmlformats.org/markup-compatibility/2006">
          <mc:Choice Requires="x14">
            <control shapeId="2050" r:id="rId5" name="Button 2">
              <controlPr defaultSize="0" print="0" autoFill="0" autoPict="0" macro="[0]!RedactPtNames">
                <anchor moveWithCells="1" sizeWithCells="1">
                  <from>
                    <xdr:col>13</xdr:col>
                    <xdr:colOff>19050</xdr:colOff>
                    <xdr:row>5</xdr:row>
                    <xdr:rowOff>9525</xdr:rowOff>
                  </from>
                  <to>
                    <xdr:col>16</xdr:col>
                    <xdr:colOff>9525</xdr:colOff>
                    <xdr:row>6</xdr:row>
                    <xdr:rowOff>19050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46"/>
  <sheetViews>
    <sheetView workbookViewId="0">
      <selection activeCell="D31" sqref="D31"/>
    </sheetView>
  </sheetViews>
  <sheetFormatPr defaultRowHeight="15" x14ac:dyDescent="0.25"/>
  <cols>
    <col min="1" max="1" width="9.7109375" style="24" bestFit="1" customWidth="1"/>
    <col min="2" max="2" width="19.140625" bestFit="1" customWidth="1"/>
    <col min="3" max="3" width="13.5703125" bestFit="1" customWidth="1"/>
    <col min="4" max="4" width="16.7109375" bestFit="1" customWidth="1"/>
    <col min="5" max="5" width="13.28515625" bestFit="1" customWidth="1"/>
    <col min="6" max="6" width="15" bestFit="1" customWidth="1"/>
    <col min="7" max="8" width="23.28515625" customWidth="1"/>
    <col min="9" max="9" width="20.7109375" customWidth="1"/>
    <col min="10" max="11" width="23.28515625" customWidth="1"/>
    <col min="12" max="12" width="20.7109375" customWidth="1"/>
    <col min="13" max="14" width="18.85546875" customWidth="1"/>
    <col min="15" max="15" width="16.28515625" customWidth="1"/>
    <col min="16" max="16" width="25.85546875" bestFit="1" customWidth="1"/>
    <col min="17" max="18" width="18.85546875" bestFit="1" customWidth="1"/>
    <col min="19" max="19" width="16.28515625" bestFit="1" customWidth="1"/>
    <col min="20" max="20" width="25.85546875" bestFit="1" customWidth="1"/>
    <col min="21" max="21" width="23.140625" bestFit="1" customWidth="1"/>
    <col min="22" max="23" width="25.85546875" bestFit="1" customWidth="1"/>
    <col min="24" max="24" width="23.140625" bestFit="1" customWidth="1"/>
    <col min="25" max="25" width="32.7109375" customWidth="1"/>
  </cols>
  <sheetData>
    <row r="1" spans="1:25" x14ac:dyDescent="0.25">
      <c r="A1" s="24" t="s">
        <v>27</v>
      </c>
      <c r="B1" s="22" t="s">
        <v>0</v>
      </c>
      <c r="C1" s="22" t="s">
        <v>1</v>
      </c>
      <c r="D1" s="22" t="s">
        <v>2</v>
      </c>
      <c r="E1" s="22" t="s">
        <v>56</v>
      </c>
      <c r="F1" s="22" t="s">
        <v>16</v>
      </c>
      <c r="G1" s="22" t="s">
        <v>79</v>
      </c>
      <c r="H1" s="22" t="s">
        <v>80</v>
      </c>
      <c r="I1" s="22" t="s">
        <v>81</v>
      </c>
      <c r="J1" s="22" t="s">
        <v>82</v>
      </c>
      <c r="K1" s="22" t="s">
        <v>83</v>
      </c>
      <c r="L1" s="22" t="s">
        <v>84</v>
      </c>
      <c r="M1" s="22" t="s">
        <v>85</v>
      </c>
      <c r="N1" s="22" t="s">
        <v>86</v>
      </c>
      <c r="O1" s="22" t="s">
        <v>87</v>
      </c>
      <c r="P1" s="22" t="s">
        <v>88</v>
      </c>
      <c r="Q1" s="22" t="s">
        <v>101</v>
      </c>
      <c r="R1" s="22" t="s">
        <v>102</v>
      </c>
      <c r="S1" s="22" t="s">
        <v>103</v>
      </c>
      <c r="T1" s="22" t="s">
        <v>89</v>
      </c>
      <c r="U1" s="22" t="s">
        <v>90</v>
      </c>
      <c r="V1" s="22" t="s">
        <v>91</v>
      </c>
      <c r="W1" s="22" t="s">
        <v>92</v>
      </c>
      <c r="X1" s="22" t="s">
        <v>93</v>
      </c>
      <c r="Y1" s="22" t="s">
        <v>60</v>
      </c>
    </row>
    <row r="2" spans="1:25" x14ac:dyDescent="0.25">
      <c r="A2" s="24">
        <v>44663</v>
      </c>
      <c r="B2" t="s">
        <v>44</v>
      </c>
      <c r="C2" t="s">
        <v>12</v>
      </c>
      <c r="D2" t="s">
        <v>45</v>
      </c>
      <c r="E2" t="s">
        <v>57</v>
      </c>
      <c r="F2" t="s">
        <v>17</v>
      </c>
      <c r="G2">
        <v>97.1</v>
      </c>
      <c r="H2">
        <v>98.1</v>
      </c>
      <c r="I2">
        <v>99.8</v>
      </c>
      <c r="V2" s="22"/>
      <c r="W2" s="22"/>
      <c r="X2" s="22"/>
      <c r="Y2" s="22" t="s">
        <v>62</v>
      </c>
    </row>
    <row r="3" spans="1:25" x14ac:dyDescent="0.25">
      <c r="A3" s="24">
        <v>44664</v>
      </c>
      <c r="B3" t="s">
        <v>36</v>
      </c>
      <c r="C3" t="s">
        <v>25</v>
      </c>
      <c r="D3" t="s">
        <v>25</v>
      </c>
      <c r="E3" t="s">
        <v>22</v>
      </c>
      <c r="F3" t="s">
        <v>17</v>
      </c>
      <c r="G3">
        <v>99.2</v>
      </c>
      <c r="H3">
        <v>99.5</v>
      </c>
      <c r="I3">
        <v>98.9</v>
      </c>
      <c r="V3" s="22"/>
      <c r="W3" s="22"/>
      <c r="X3" s="22"/>
      <c r="Y3" s="22" t="s">
        <v>62</v>
      </c>
    </row>
    <row r="4" spans="1:25" x14ac:dyDescent="0.25">
      <c r="A4" s="24">
        <v>44664</v>
      </c>
      <c r="B4" t="s">
        <v>48</v>
      </c>
      <c r="C4" t="s">
        <v>53</v>
      </c>
      <c r="D4" t="s">
        <v>45</v>
      </c>
      <c r="E4" t="s">
        <v>57</v>
      </c>
      <c r="F4" t="s">
        <v>17</v>
      </c>
      <c r="G4">
        <v>94.5</v>
      </c>
      <c r="H4">
        <v>96.7</v>
      </c>
      <c r="I4">
        <v>93.5</v>
      </c>
      <c r="V4" s="22"/>
      <c r="W4" s="22"/>
      <c r="X4" s="22"/>
      <c r="Y4" s="22" t="s">
        <v>62</v>
      </c>
    </row>
    <row r="5" spans="1:25" x14ac:dyDescent="0.25">
      <c r="A5" s="24">
        <v>44666</v>
      </c>
      <c r="B5" t="s">
        <v>28</v>
      </c>
      <c r="C5" t="s">
        <v>12</v>
      </c>
      <c r="D5" t="s">
        <v>29</v>
      </c>
      <c r="E5" t="s">
        <v>57</v>
      </c>
      <c r="F5" t="s">
        <v>17</v>
      </c>
      <c r="G5">
        <v>99.7</v>
      </c>
      <c r="H5">
        <v>99.7</v>
      </c>
      <c r="I5">
        <v>99.7</v>
      </c>
      <c r="V5" s="22"/>
      <c r="W5" s="22"/>
      <c r="X5" s="22"/>
      <c r="Y5" s="22" t="s">
        <v>62</v>
      </c>
    </row>
    <row r="6" spans="1:25" x14ac:dyDescent="0.25">
      <c r="A6" s="24">
        <v>44673</v>
      </c>
      <c r="B6" t="s">
        <v>51</v>
      </c>
      <c r="C6" t="s">
        <v>12</v>
      </c>
      <c r="D6" t="s">
        <v>8</v>
      </c>
      <c r="E6" t="s">
        <v>57</v>
      </c>
      <c r="F6" t="s">
        <v>17</v>
      </c>
      <c r="G6">
        <v>100</v>
      </c>
      <c r="H6">
        <v>99.3</v>
      </c>
      <c r="I6">
        <v>99.7</v>
      </c>
      <c r="V6" s="22"/>
      <c r="W6" s="22"/>
      <c r="X6" s="22"/>
      <c r="Y6" s="22" t="s">
        <v>62</v>
      </c>
    </row>
    <row r="7" spans="1:25" x14ac:dyDescent="0.25">
      <c r="A7" s="24">
        <v>44673</v>
      </c>
      <c r="B7" t="s">
        <v>42</v>
      </c>
      <c r="C7" t="s">
        <v>12</v>
      </c>
      <c r="D7" t="s">
        <v>43</v>
      </c>
      <c r="E7" t="s">
        <v>43</v>
      </c>
      <c r="F7" t="s">
        <v>17</v>
      </c>
      <c r="G7">
        <v>98.9</v>
      </c>
      <c r="H7">
        <v>97.3</v>
      </c>
      <c r="I7">
        <v>94.2</v>
      </c>
      <c r="V7" s="22"/>
      <c r="W7" s="22"/>
      <c r="X7" s="22"/>
      <c r="Y7" s="22" t="s">
        <v>62</v>
      </c>
    </row>
    <row r="8" spans="1:25" x14ac:dyDescent="0.25">
      <c r="A8" s="24">
        <v>44676</v>
      </c>
      <c r="B8" t="s">
        <v>50</v>
      </c>
      <c r="C8" t="s">
        <v>55</v>
      </c>
      <c r="D8" t="s">
        <v>8</v>
      </c>
      <c r="E8" t="s">
        <v>57</v>
      </c>
      <c r="F8" t="s">
        <v>17</v>
      </c>
      <c r="G8">
        <v>99.6</v>
      </c>
      <c r="H8">
        <v>99.6</v>
      </c>
      <c r="I8">
        <v>99.8</v>
      </c>
      <c r="V8" s="22"/>
      <c r="W8" s="22"/>
      <c r="X8" s="22"/>
      <c r="Y8" s="22" t="s">
        <v>62</v>
      </c>
    </row>
    <row r="9" spans="1:25" x14ac:dyDescent="0.25">
      <c r="A9" s="24">
        <v>44677</v>
      </c>
      <c r="B9" t="s">
        <v>34</v>
      </c>
      <c r="C9" t="s">
        <v>52</v>
      </c>
      <c r="D9" t="s">
        <v>35</v>
      </c>
      <c r="E9" t="s">
        <v>57</v>
      </c>
      <c r="F9" t="s">
        <v>17</v>
      </c>
      <c r="J9">
        <v>99.8</v>
      </c>
      <c r="K9">
        <v>99.1</v>
      </c>
      <c r="L9">
        <v>99.8</v>
      </c>
      <c r="V9" s="22"/>
      <c r="W9" s="22"/>
      <c r="X9" s="22"/>
      <c r="Y9" s="22" t="s">
        <v>62</v>
      </c>
    </row>
    <row r="10" spans="1:25" x14ac:dyDescent="0.25">
      <c r="A10" s="24">
        <v>44678</v>
      </c>
      <c r="B10" t="s">
        <v>50</v>
      </c>
      <c r="C10" t="s">
        <v>55</v>
      </c>
      <c r="D10" t="s">
        <v>8</v>
      </c>
      <c r="E10" t="s">
        <v>57</v>
      </c>
      <c r="F10" t="s">
        <v>17</v>
      </c>
      <c r="J10">
        <v>99.2</v>
      </c>
      <c r="K10">
        <v>98.5</v>
      </c>
      <c r="L10">
        <v>99.2</v>
      </c>
      <c r="V10" s="22"/>
      <c r="W10" s="22"/>
      <c r="X10" s="22"/>
      <c r="Y10" s="22" t="s">
        <v>62</v>
      </c>
    </row>
    <row r="11" spans="1:25" x14ac:dyDescent="0.25">
      <c r="A11" s="24">
        <v>44683</v>
      </c>
      <c r="B11" t="s">
        <v>49</v>
      </c>
      <c r="C11" t="s">
        <v>12</v>
      </c>
      <c r="D11" t="s">
        <v>8</v>
      </c>
      <c r="E11" t="s">
        <v>57</v>
      </c>
      <c r="F11" t="s">
        <v>18</v>
      </c>
      <c r="G11">
        <v>99.7</v>
      </c>
      <c r="H11">
        <v>100</v>
      </c>
      <c r="I11">
        <v>99.7</v>
      </c>
      <c r="J11">
        <v>100</v>
      </c>
      <c r="K11">
        <v>100</v>
      </c>
      <c r="L11">
        <v>100</v>
      </c>
      <c r="V11" s="22"/>
      <c r="W11" s="22"/>
      <c r="X11" s="22"/>
      <c r="Y11" s="22" t="s">
        <v>61</v>
      </c>
    </row>
    <row r="12" spans="1:25" x14ac:dyDescent="0.25">
      <c r="A12" s="24">
        <v>44683</v>
      </c>
      <c r="B12" t="s">
        <v>40</v>
      </c>
      <c r="C12" t="s">
        <v>23</v>
      </c>
      <c r="D12" t="s">
        <v>41</v>
      </c>
      <c r="E12" t="s">
        <v>58</v>
      </c>
      <c r="F12" t="s">
        <v>17</v>
      </c>
      <c r="G12">
        <v>98.8</v>
      </c>
      <c r="H12">
        <v>98.9</v>
      </c>
      <c r="I12">
        <v>98.2</v>
      </c>
      <c r="V12" s="22"/>
      <c r="W12" s="22"/>
      <c r="X12" s="22"/>
      <c r="Y12" s="22" t="s">
        <v>61</v>
      </c>
    </row>
    <row r="13" spans="1:25" x14ac:dyDescent="0.25">
      <c r="A13" s="24">
        <v>44684</v>
      </c>
      <c r="B13" t="s">
        <v>30</v>
      </c>
      <c r="C13" t="s">
        <v>23</v>
      </c>
      <c r="D13" t="s">
        <v>31</v>
      </c>
      <c r="E13" t="s">
        <v>22</v>
      </c>
      <c r="F13" t="s">
        <v>17</v>
      </c>
      <c r="G13">
        <v>96.4</v>
      </c>
      <c r="H13">
        <v>99.7</v>
      </c>
      <c r="I13">
        <v>98.9</v>
      </c>
      <c r="V13" s="22"/>
      <c r="W13" s="22"/>
      <c r="X13" s="22"/>
      <c r="Y13" s="22" t="s">
        <v>61</v>
      </c>
    </row>
    <row r="14" spans="1:25" x14ac:dyDescent="0.25">
      <c r="A14" s="24">
        <v>44684</v>
      </c>
      <c r="B14" t="s">
        <v>30</v>
      </c>
      <c r="C14" t="s">
        <v>23</v>
      </c>
      <c r="D14" t="s">
        <v>22</v>
      </c>
      <c r="E14" t="s">
        <v>22</v>
      </c>
      <c r="F14" t="s">
        <v>17</v>
      </c>
      <c r="G14">
        <v>99</v>
      </c>
      <c r="H14">
        <v>99.9</v>
      </c>
      <c r="I14">
        <v>99</v>
      </c>
      <c r="V14" s="22"/>
      <c r="W14" s="22"/>
      <c r="X14" s="22"/>
      <c r="Y14" s="22" t="s">
        <v>61</v>
      </c>
    </row>
    <row r="15" spans="1:25" x14ac:dyDescent="0.25">
      <c r="A15" s="24">
        <v>44684</v>
      </c>
      <c r="B15" t="s">
        <v>32</v>
      </c>
      <c r="C15" t="s">
        <v>54</v>
      </c>
      <c r="D15" t="s">
        <v>33</v>
      </c>
      <c r="E15" t="s">
        <v>54</v>
      </c>
      <c r="F15" t="s">
        <v>17</v>
      </c>
      <c r="G15">
        <v>99.1</v>
      </c>
      <c r="H15">
        <v>98.9</v>
      </c>
      <c r="I15">
        <v>94.3</v>
      </c>
      <c r="V15" s="22"/>
      <c r="W15" s="22"/>
      <c r="X15" s="22"/>
      <c r="Y15" s="22" t="s">
        <v>61</v>
      </c>
    </row>
    <row r="16" spans="1:25" x14ac:dyDescent="0.25">
      <c r="A16" s="24">
        <v>44684</v>
      </c>
      <c r="B16" t="s">
        <v>46</v>
      </c>
      <c r="C16" t="s">
        <v>54</v>
      </c>
      <c r="D16" t="s">
        <v>47</v>
      </c>
      <c r="E16" t="s">
        <v>47</v>
      </c>
      <c r="F16" t="s">
        <v>17</v>
      </c>
      <c r="J16">
        <v>99.5</v>
      </c>
      <c r="K16">
        <v>97.7</v>
      </c>
      <c r="L16">
        <v>97.4</v>
      </c>
      <c r="V16" s="22"/>
      <c r="W16" s="22"/>
      <c r="X16" s="22"/>
      <c r="Y16" s="22" t="s">
        <v>61</v>
      </c>
    </row>
    <row r="17" spans="1:25" x14ac:dyDescent="0.25">
      <c r="A17" s="24">
        <v>44686</v>
      </c>
      <c r="B17" t="s">
        <v>24</v>
      </c>
      <c r="C17" t="s">
        <v>25</v>
      </c>
      <c r="D17" t="s">
        <v>26</v>
      </c>
      <c r="E17" t="s">
        <v>22</v>
      </c>
      <c r="F17" t="s">
        <v>17</v>
      </c>
      <c r="G17">
        <v>98.5</v>
      </c>
      <c r="H17">
        <v>99.2</v>
      </c>
      <c r="I17">
        <v>98.5</v>
      </c>
      <c r="V17" s="22"/>
      <c r="W17" s="22"/>
      <c r="X17" s="22"/>
      <c r="Y17" s="22" t="s">
        <v>61</v>
      </c>
    </row>
    <row r="18" spans="1:25" x14ac:dyDescent="0.25">
      <c r="A18" s="24">
        <v>44686</v>
      </c>
      <c r="B18" t="s">
        <v>24</v>
      </c>
      <c r="C18" t="s">
        <v>25</v>
      </c>
      <c r="D18" t="s">
        <v>25</v>
      </c>
      <c r="E18" t="s">
        <v>22</v>
      </c>
      <c r="F18" t="s">
        <v>17</v>
      </c>
      <c r="G18">
        <v>99.3</v>
      </c>
      <c r="H18">
        <v>99.8</v>
      </c>
      <c r="I18">
        <v>98.7</v>
      </c>
      <c r="V18" s="22"/>
      <c r="W18" s="22"/>
      <c r="X18" s="22"/>
      <c r="Y18" s="22" t="s">
        <v>61</v>
      </c>
    </row>
    <row r="19" spans="1:25" x14ac:dyDescent="0.25">
      <c r="A19" s="24">
        <v>44686</v>
      </c>
      <c r="B19" t="s">
        <v>37</v>
      </c>
      <c r="C19" t="s">
        <v>23</v>
      </c>
      <c r="D19" t="s">
        <v>38</v>
      </c>
      <c r="E19" t="s">
        <v>38</v>
      </c>
      <c r="F19" t="s">
        <v>17</v>
      </c>
      <c r="G19">
        <v>99.6</v>
      </c>
      <c r="H19">
        <v>99.2</v>
      </c>
      <c r="I19">
        <v>99.3</v>
      </c>
      <c r="V19" s="22"/>
      <c r="W19" s="22"/>
      <c r="X19" s="22"/>
      <c r="Y19" s="22" t="s">
        <v>61</v>
      </c>
    </row>
    <row r="20" spans="1:25" x14ac:dyDescent="0.25">
      <c r="A20" s="24">
        <v>44686</v>
      </c>
      <c r="B20" t="s">
        <v>37</v>
      </c>
      <c r="C20" t="s">
        <v>23</v>
      </c>
      <c r="D20" t="s">
        <v>39</v>
      </c>
      <c r="E20" t="s">
        <v>38</v>
      </c>
      <c r="F20" t="s">
        <v>17</v>
      </c>
      <c r="G20">
        <v>99.7</v>
      </c>
      <c r="H20">
        <v>99.7</v>
      </c>
      <c r="I20">
        <v>99.5</v>
      </c>
      <c r="V20" s="22"/>
      <c r="W20" s="22"/>
      <c r="X20" s="22"/>
      <c r="Y20" s="22" t="s">
        <v>61</v>
      </c>
    </row>
    <row r="21" spans="1:25" x14ac:dyDescent="0.25">
      <c r="A21" s="24">
        <v>44687</v>
      </c>
      <c r="B21" t="s">
        <v>21</v>
      </c>
      <c r="C21" t="s">
        <v>23</v>
      </c>
      <c r="D21" t="s">
        <v>22</v>
      </c>
      <c r="E21" t="s">
        <v>22</v>
      </c>
      <c r="F21" t="s">
        <v>17</v>
      </c>
      <c r="G21">
        <v>99.3</v>
      </c>
      <c r="H21">
        <v>99.8</v>
      </c>
      <c r="I21">
        <v>99.9</v>
      </c>
      <c r="J21">
        <v>95.2</v>
      </c>
      <c r="K21">
        <v>92.6</v>
      </c>
      <c r="L21">
        <v>82.9</v>
      </c>
      <c r="V21" s="22"/>
      <c r="W21" s="22"/>
      <c r="X21" s="22"/>
      <c r="Y21" s="22" t="s">
        <v>61</v>
      </c>
    </row>
    <row r="22" spans="1:25" x14ac:dyDescent="0.25">
      <c r="A22" s="24">
        <v>44690</v>
      </c>
      <c r="B22" t="s">
        <v>19</v>
      </c>
      <c r="C22" t="s">
        <v>12</v>
      </c>
      <c r="D22" t="s">
        <v>20</v>
      </c>
      <c r="E22" t="s">
        <v>57</v>
      </c>
      <c r="F22" t="s">
        <v>18</v>
      </c>
      <c r="G22">
        <v>99.5</v>
      </c>
      <c r="H22">
        <v>100</v>
      </c>
      <c r="I22">
        <v>99.8</v>
      </c>
      <c r="J22">
        <v>100</v>
      </c>
      <c r="K22">
        <v>100</v>
      </c>
      <c r="L22">
        <v>100</v>
      </c>
      <c r="V22" s="22"/>
      <c r="W22" s="22"/>
      <c r="X22" s="22"/>
      <c r="Y22" s="22" t="s">
        <v>61</v>
      </c>
    </row>
    <row r="23" spans="1:25" x14ac:dyDescent="0.25">
      <c r="A23" s="24">
        <v>44690</v>
      </c>
      <c r="B23" t="s">
        <v>14</v>
      </c>
      <c r="C23" t="s">
        <v>15</v>
      </c>
      <c r="D23" t="s">
        <v>15</v>
      </c>
      <c r="E23" t="s">
        <v>57</v>
      </c>
      <c r="F23" t="s">
        <v>18</v>
      </c>
      <c r="G23">
        <v>100</v>
      </c>
      <c r="H23">
        <v>100</v>
      </c>
      <c r="I23">
        <v>100</v>
      </c>
      <c r="J23">
        <v>100</v>
      </c>
      <c r="K23">
        <v>100</v>
      </c>
      <c r="L23">
        <v>100</v>
      </c>
      <c r="V23" s="22"/>
      <c r="W23" s="22"/>
      <c r="X23" s="22"/>
      <c r="Y23" s="22" t="s">
        <v>61</v>
      </c>
    </row>
    <row r="24" spans="1:25" x14ac:dyDescent="0.25">
      <c r="A24" s="24">
        <v>44690</v>
      </c>
      <c r="B24" t="s">
        <v>7</v>
      </c>
      <c r="C24" t="s">
        <v>12</v>
      </c>
      <c r="D24" t="s">
        <v>8</v>
      </c>
      <c r="E24" t="s">
        <v>57</v>
      </c>
      <c r="F24" t="s">
        <v>17</v>
      </c>
      <c r="G24">
        <v>97.2</v>
      </c>
      <c r="H24">
        <v>98.3</v>
      </c>
      <c r="I24">
        <v>95.8</v>
      </c>
      <c r="J24">
        <v>88.7</v>
      </c>
      <c r="K24">
        <v>96.5</v>
      </c>
      <c r="L24">
        <v>87</v>
      </c>
      <c r="V24" s="22"/>
      <c r="W24" s="22"/>
      <c r="X24" s="22"/>
      <c r="Y24" s="22" t="s">
        <v>61</v>
      </c>
    </row>
    <row r="25" spans="1:25" x14ac:dyDescent="0.25">
      <c r="A25" s="24">
        <v>44691</v>
      </c>
      <c r="B25" t="s">
        <v>34</v>
      </c>
      <c r="C25" t="s">
        <v>52</v>
      </c>
      <c r="D25" t="s">
        <v>35</v>
      </c>
      <c r="E25" t="s">
        <v>57</v>
      </c>
      <c r="F25" t="s">
        <v>17</v>
      </c>
      <c r="J25">
        <v>97.5</v>
      </c>
      <c r="K25">
        <v>96.3</v>
      </c>
      <c r="L25">
        <v>97.3</v>
      </c>
      <c r="V25" s="22"/>
      <c r="W25" s="22"/>
      <c r="X25" s="22"/>
      <c r="Y25" s="22" t="s">
        <v>61</v>
      </c>
    </row>
    <row r="26" spans="1:25" x14ac:dyDescent="0.25">
      <c r="A26" s="24">
        <v>44691</v>
      </c>
      <c r="B26" t="s">
        <v>30</v>
      </c>
      <c r="C26" t="s">
        <v>23</v>
      </c>
      <c r="D26" t="s">
        <v>31</v>
      </c>
      <c r="E26" t="s">
        <v>22</v>
      </c>
      <c r="F26" t="s">
        <v>17</v>
      </c>
      <c r="M26">
        <v>98.9</v>
      </c>
      <c r="N26">
        <v>97.4</v>
      </c>
      <c r="O26">
        <v>95.7</v>
      </c>
      <c r="V26" s="22"/>
      <c r="W26" s="22"/>
      <c r="X26" s="22"/>
      <c r="Y26" s="22" t="s">
        <v>61</v>
      </c>
    </row>
    <row r="27" spans="1:25" x14ac:dyDescent="0.25">
      <c r="A27" s="24">
        <v>44691</v>
      </c>
      <c r="B27" t="s">
        <v>30</v>
      </c>
      <c r="C27" t="s">
        <v>23</v>
      </c>
      <c r="D27" t="s">
        <v>22</v>
      </c>
      <c r="E27" t="s">
        <v>22</v>
      </c>
      <c r="F27" t="s">
        <v>17</v>
      </c>
      <c r="M27">
        <v>97.6</v>
      </c>
      <c r="N27">
        <v>96.7</v>
      </c>
      <c r="O27">
        <v>93.6</v>
      </c>
      <c r="V27" s="22"/>
      <c r="W27" s="22"/>
      <c r="X27" s="22"/>
      <c r="Y27" s="22" t="s">
        <v>61</v>
      </c>
    </row>
    <row r="28" spans="1:25" x14ac:dyDescent="0.25">
      <c r="A28" s="24">
        <v>44691</v>
      </c>
      <c r="B28" t="s">
        <v>42</v>
      </c>
      <c r="C28" t="s">
        <v>12</v>
      </c>
      <c r="D28" t="s">
        <v>43</v>
      </c>
      <c r="E28" t="s">
        <v>43</v>
      </c>
      <c r="F28" t="s">
        <v>17</v>
      </c>
      <c r="J28">
        <v>95.3</v>
      </c>
      <c r="K28">
        <v>85.3</v>
      </c>
      <c r="L28">
        <v>80.400000000000006</v>
      </c>
      <c r="V28" s="22"/>
      <c r="W28" s="22"/>
      <c r="X28" s="22"/>
      <c r="Y28" s="22" t="s">
        <v>61</v>
      </c>
    </row>
    <row r="29" spans="1:25" x14ac:dyDescent="0.25">
      <c r="A29" s="24">
        <v>44691</v>
      </c>
      <c r="B29" t="s">
        <v>36</v>
      </c>
      <c r="C29" t="s">
        <v>25</v>
      </c>
      <c r="D29" t="s">
        <v>25</v>
      </c>
      <c r="E29" t="s">
        <v>22</v>
      </c>
      <c r="F29" t="s">
        <v>17</v>
      </c>
      <c r="J29">
        <v>99.7</v>
      </c>
      <c r="K29">
        <v>95.6</v>
      </c>
      <c r="L29">
        <v>95.6</v>
      </c>
      <c r="V29" s="22"/>
      <c r="W29" s="22"/>
      <c r="X29" s="22"/>
      <c r="Y29" s="22" t="s">
        <v>61</v>
      </c>
    </row>
    <row r="30" spans="1:25" x14ac:dyDescent="0.25">
      <c r="A30" s="24">
        <v>44691</v>
      </c>
      <c r="B30" t="s">
        <v>37</v>
      </c>
      <c r="C30" t="s">
        <v>23</v>
      </c>
      <c r="D30" t="s">
        <v>38</v>
      </c>
      <c r="E30" t="s">
        <v>38</v>
      </c>
      <c r="F30" t="s">
        <v>17</v>
      </c>
      <c r="J30">
        <v>96.7</v>
      </c>
      <c r="K30">
        <v>83.7</v>
      </c>
      <c r="L30">
        <v>78.3</v>
      </c>
      <c r="M30">
        <v>98.4</v>
      </c>
      <c r="N30">
        <v>85.7</v>
      </c>
      <c r="O30">
        <v>82.5</v>
      </c>
      <c r="P30">
        <v>1.7000000000000028</v>
      </c>
      <c r="T30">
        <v>2</v>
      </c>
      <c r="U30">
        <v>4.2000000000000028</v>
      </c>
      <c r="V30" s="22"/>
      <c r="W30" s="22"/>
      <c r="X30" s="22"/>
      <c r="Y30" s="22" t="s">
        <v>61</v>
      </c>
    </row>
    <row r="31" spans="1:25" x14ac:dyDescent="0.25">
      <c r="A31" s="24">
        <v>44691</v>
      </c>
      <c r="B31" t="s">
        <v>37</v>
      </c>
      <c r="C31" t="s">
        <v>23</v>
      </c>
      <c r="D31" t="s">
        <v>39</v>
      </c>
      <c r="E31" t="s">
        <v>38</v>
      </c>
      <c r="F31" t="s">
        <v>17</v>
      </c>
      <c r="J31">
        <v>81.5</v>
      </c>
      <c r="K31">
        <v>86.2</v>
      </c>
      <c r="L31">
        <v>77.599999999999994</v>
      </c>
      <c r="M31">
        <v>87.9</v>
      </c>
      <c r="N31">
        <v>92.9</v>
      </c>
      <c r="O31">
        <v>86.1</v>
      </c>
      <c r="P31">
        <v>6.4000000000000057</v>
      </c>
      <c r="T31">
        <v>6.7000000000000028</v>
      </c>
      <c r="U31">
        <v>8.5</v>
      </c>
      <c r="V31" s="22"/>
      <c r="W31" s="22"/>
      <c r="X31" s="22"/>
      <c r="Y31" s="22" t="s">
        <v>61</v>
      </c>
    </row>
    <row r="32" spans="1:25" x14ac:dyDescent="0.25">
      <c r="A32" s="24">
        <v>44691</v>
      </c>
      <c r="B32" t="s">
        <v>40</v>
      </c>
      <c r="C32" t="s">
        <v>23</v>
      </c>
      <c r="D32" t="s">
        <v>41</v>
      </c>
      <c r="E32" t="s">
        <v>58</v>
      </c>
      <c r="F32" t="s">
        <v>17</v>
      </c>
      <c r="J32">
        <v>92.7</v>
      </c>
      <c r="K32">
        <v>97.2</v>
      </c>
      <c r="L32">
        <v>90.8</v>
      </c>
      <c r="V32" s="22"/>
      <c r="W32" s="22"/>
      <c r="X32" s="22"/>
      <c r="Y32" s="22" t="s">
        <v>61</v>
      </c>
    </row>
    <row r="33" spans="1:25" x14ac:dyDescent="0.25">
      <c r="A33" s="24">
        <v>44691</v>
      </c>
      <c r="B33" t="s">
        <v>48</v>
      </c>
      <c r="C33" t="s">
        <v>53</v>
      </c>
      <c r="D33" t="s">
        <v>45</v>
      </c>
      <c r="E33" t="s">
        <v>57</v>
      </c>
      <c r="F33" t="s">
        <v>17</v>
      </c>
      <c r="M33">
        <v>99.6</v>
      </c>
      <c r="N33">
        <v>99.1</v>
      </c>
      <c r="O33">
        <v>99.8</v>
      </c>
      <c r="V33" s="22"/>
      <c r="W33" s="22"/>
      <c r="X33" s="22"/>
      <c r="Y33" s="22" t="s">
        <v>61</v>
      </c>
    </row>
    <row r="34" spans="1:25" x14ac:dyDescent="0.25">
      <c r="A34" s="24">
        <v>44697</v>
      </c>
      <c r="B34" t="s">
        <v>50</v>
      </c>
      <c r="C34" t="s">
        <v>55</v>
      </c>
      <c r="D34" t="s">
        <v>71</v>
      </c>
      <c r="E34" t="s">
        <v>57</v>
      </c>
      <c r="F34" t="s">
        <v>17</v>
      </c>
      <c r="G34">
        <v>99.9</v>
      </c>
      <c r="H34">
        <v>99.8</v>
      </c>
      <c r="I34">
        <v>99.8</v>
      </c>
      <c r="M34">
        <v>96.2</v>
      </c>
      <c r="N34">
        <v>98.5</v>
      </c>
      <c r="O34">
        <v>96.5</v>
      </c>
      <c r="V34" s="22">
        <v>3.7000000000000028</v>
      </c>
      <c r="W34" s="22">
        <v>1.2999999999999972</v>
      </c>
      <c r="X34" s="22">
        <v>3.2999999999999972</v>
      </c>
      <c r="Y34" s="22" t="s">
        <v>61</v>
      </c>
    </row>
    <row r="35" spans="1:25" x14ac:dyDescent="0.25">
      <c r="A35" s="24">
        <v>44697</v>
      </c>
      <c r="B35" t="s">
        <v>69</v>
      </c>
      <c r="C35" t="s">
        <v>25</v>
      </c>
      <c r="D35" t="s">
        <v>25</v>
      </c>
      <c r="E35" t="s">
        <v>22</v>
      </c>
      <c r="F35" t="s">
        <v>17</v>
      </c>
      <c r="G35">
        <v>99.5</v>
      </c>
      <c r="H35">
        <v>98.9</v>
      </c>
      <c r="I35">
        <v>98.9</v>
      </c>
      <c r="M35">
        <v>98.7</v>
      </c>
      <c r="N35">
        <v>95.6</v>
      </c>
      <c r="O35">
        <v>94.2</v>
      </c>
      <c r="V35" s="22">
        <v>0.79999999999999716</v>
      </c>
      <c r="W35" s="22">
        <v>3.3000000000000114</v>
      </c>
      <c r="X35" s="22">
        <v>4.7000000000000028</v>
      </c>
      <c r="Y35" s="22" t="s">
        <v>61</v>
      </c>
    </row>
    <row r="36" spans="1:25" x14ac:dyDescent="0.25">
      <c r="A36" s="24">
        <v>44697</v>
      </c>
      <c r="B36" t="s">
        <v>69</v>
      </c>
      <c r="C36" t="s">
        <v>25</v>
      </c>
      <c r="D36" t="s">
        <v>70</v>
      </c>
      <c r="E36" t="s">
        <v>22</v>
      </c>
      <c r="F36" t="s">
        <v>17</v>
      </c>
      <c r="G36">
        <v>98.6</v>
      </c>
      <c r="H36">
        <v>99.9</v>
      </c>
      <c r="I36">
        <v>99.1</v>
      </c>
      <c r="M36">
        <v>99.6</v>
      </c>
      <c r="N36">
        <v>96</v>
      </c>
      <c r="O36">
        <v>96.2</v>
      </c>
      <c r="V36" s="22">
        <v>-1</v>
      </c>
      <c r="W36" s="22">
        <v>3.9000000000000057</v>
      </c>
      <c r="X36" s="22">
        <v>2.8999999999999915</v>
      </c>
      <c r="Y36" s="22" t="s">
        <v>61</v>
      </c>
    </row>
    <row r="37" spans="1:25" x14ac:dyDescent="0.25">
      <c r="A37" s="24">
        <v>44698</v>
      </c>
      <c r="B37" t="s">
        <v>72</v>
      </c>
      <c r="C37" t="s">
        <v>23</v>
      </c>
      <c r="D37" t="s">
        <v>74</v>
      </c>
      <c r="E37" t="s">
        <v>75</v>
      </c>
      <c r="F37" t="s">
        <v>17</v>
      </c>
      <c r="G37">
        <v>96.4</v>
      </c>
      <c r="H37">
        <v>99.7</v>
      </c>
      <c r="I37">
        <v>93.8</v>
      </c>
      <c r="M37">
        <v>96.9</v>
      </c>
      <c r="N37">
        <v>85</v>
      </c>
      <c r="O37">
        <v>89.3</v>
      </c>
      <c r="V37" s="22">
        <v>-0.5</v>
      </c>
      <c r="W37" s="22">
        <v>14.700000000000003</v>
      </c>
      <c r="X37" s="22">
        <v>4.5</v>
      </c>
      <c r="Y37" s="22" t="s">
        <v>61</v>
      </c>
    </row>
    <row r="38" spans="1:25" x14ac:dyDescent="0.25">
      <c r="A38" s="24">
        <v>44698</v>
      </c>
      <c r="B38" t="s">
        <v>72</v>
      </c>
      <c r="C38" t="s">
        <v>23</v>
      </c>
      <c r="D38" t="s">
        <v>73</v>
      </c>
      <c r="E38" t="s">
        <v>75</v>
      </c>
      <c r="F38" t="s">
        <v>17</v>
      </c>
      <c r="G38">
        <v>99.4</v>
      </c>
      <c r="H38">
        <v>99.5</v>
      </c>
      <c r="I38">
        <v>99.8</v>
      </c>
      <c r="M38">
        <v>94.3</v>
      </c>
      <c r="N38">
        <v>91.5</v>
      </c>
      <c r="O38">
        <v>89</v>
      </c>
      <c r="V38" s="22">
        <v>5.1000000000000085</v>
      </c>
      <c r="W38" s="22">
        <v>8</v>
      </c>
      <c r="X38" s="22">
        <v>10.799999999999997</v>
      </c>
      <c r="Y38" s="22" t="s">
        <v>61</v>
      </c>
    </row>
    <row r="39" spans="1:25" x14ac:dyDescent="0.25">
      <c r="A39" s="24">
        <v>44701</v>
      </c>
      <c r="B39" t="s">
        <v>76</v>
      </c>
      <c r="C39" t="s">
        <v>23</v>
      </c>
      <c r="D39" t="s">
        <v>78</v>
      </c>
      <c r="E39" t="s">
        <v>78</v>
      </c>
      <c r="F39" t="s">
        <v>17</v>
      </c>
      <c r="G39">
        <v>99.1</v>
      </c>
      <c r="H39">
        <v>99.7</v>
      </c>
      <c r="I39">
        <v>98.9</v>
      </c>
      <c r="M39">
        <v>96.2</v>
      </c>
      <c r="N39">
        <v>96.2</v>
      </c>
      <c r="O39">
        <v>91.3</v>
      </c>
      <c r="V39" s="22">
        <v>2.8999999999999915</v>
      </c>
      <c r="W39" s="22">
        <v>3.5</v>
      </c>
      <c r="X39" s="22">
        <v>7.6000000000000085</v>
      </c>
      <c r="Y39" s="22" t="s">
        <v>61</v>
      </c>
    </row>
    <row r="40" spans="1:25" x14ac:dyDescent="0.25">
      <c r="A40" s="24">
        <v>44701</v>
      </c>
      <c r="B40" t="s">
        <v>77</v>
      </c>
      <c r="C40" t="s">
        <v>23</v>
      </c>
      <c r="D40" t="s">
        <v>78</v>
      </c>
      <c r="E40" t="s">
        <v>78</v>
      </c>
      <c r="F40" t="s">
        <v>17</v>
      </c>
      <c r="G40">
        <v>99.9</v>
      </c>
      <c r="H40">
        <v>99.7</v>
      </c>
      <c r="I40">
        <v>99.8</v>
      </c>
      <c r="M40">
        <v>98.1</v>
      </c>
      <c r="N40">
        <v>96.8</v>
      </c>
      <c r="O40">
        <v>92.7</v>
      </c>
      <c r="V40" s="22">
        <v>1.8000000000000114</v>
      </c>
      <c r="W40" s="22">
        <v>2.9000000000000057</v>
      </c>
      <c r="X40" s="22">
        <v>7.0999999999999943</v>
      </c>
      <c r="Y40" s="22" t="s">
        <v>61</v>
      </c>
    </row>
    <row r="41" spans="1:25" x14ac:dyDescent="0.25">
      <c r="A41" s="24">
        <v>44712</v>
      </c>
      <c r="B41" t="s">
        <v>99</v>
      </c>
      <c r="C41" t="s">
        <v>23</v>
      </c>
      <c r="D41" t="s">
        <v>100</v>
      </c>
      <c r="E41" t="s">
        <v>100</v>
      </c>
      <c r="F41" t="s">
        <v>17</v>
      </c>
      <c r="G41">
        <v>99.8</v>
      </c>
      <c r="H41">
        <v>99.7</v>
      </c>
      <c r="I41">
        <v>98.7</v>
      </c>
      <c r="M41">
        <v>91.5</v>
      </c>
      <c r="N41">
        <v>92</v>
      </c>
      <c r="O41">
        <v>73.599999999999994</v>
      </c>
      <c r="Q41">
        <v>99.1</v>
      </c>
      <c r="R41">
        <v>99.5</v>
      </c>
      <c r="S41">
        <v>98.4</v>
      </c>
      <c r="V41" s="22">
        <v>8.2999999999999972</v>
      </c>
      <c r="W41" s="22">
        <v>7.7000000000000028</v>
      </c>
      <c r="X41" s="22">
        <v>25.100000000000009</v>
      </c>
      <c r="Y41" s="22" t="s">
        <v>61</v>
      </c>
    </row>
    <row r="42" spans="1:25" x14ac:dyDescent="0.25">
      <c r="A42" s="24">
        <v>44715</v>
      </c>
      <c r="B42" t="s">
        <v>106</v>
      </c>
      <c r="C42" t="s">
        <v>8</v>
      </c>
      <c r="D42" t="s">
        <v>35</v>
      </c>
      <c r="E42" t="s">
        <v>57</v>
      </c>
      <c r="F42" t="s">
        <v>17</v>
      </c>
      <c r="G42">
        <v>100</v>
      </c>
      <c r="H42">
        <v>99.7</v>
      </c>
      <c r="I42">
        <v>99.7</v>
      </c>
      <c r="M42">
        <v>99.8</v>
      </c>
      <c r="N42">
        <v>100</v>
      </c>
      <c r="O42">
        <v>99.4</v>
      </c>
      <c r="V42" s="22">
        <v>0.20000000000000284</v>
      </c>
      <c r="W42" s="22">
        <v>-0.29999999999999716</v>
      </c>
      <c r="X42" s="22">
        <v>0.29999999999999716</v>
      </c>
      <c r="Y42" s="22" t="s">
        <v>61</v>
      </c>
    </row>
    <row r="43" spans="1:25" x14ac:dyDescent="0.25">
      <c r="A43" s="24">
        <v>44715</v>
      </c>
      <c r="B43" t="s">
        <v>107</v>
      </c>
      <c r="C43" t="s">
        <v>12</v>
      </c>
      <c r="D43" t="s">
        <v>43</v>
      </c>
      <c r="E43" t="s">
        <v>43</v>
      </c>
      <c r="F43" t="s">
        <v>17</v>
      </c>
      <c r="G43">
        <v>99.1</v>
      </c>
      <c r="H43">
        <v>99.7</v>
      </c>
      <c r="I43">
        <v>99.7</v>
      </c>
      <c r="M43">
        <v>98.4</v>
      </c>
      <c r="N43">
        <v>97.1</v>
      </c>
      <c r="O43">
        <v>99.1</v>
      </c>
      <c r="V43" s="22">
        <v>0.69999999999998863</v>
      </c>
      <c r="W43" s="22">
        <v>2.6000000000000085</v>
      </c>
      <c r="X43" s="22">
        <v>0.60000000000000853</v>
      </c>
      <c r="Y43" s="22" t="s">
        <v>61</v>
      </c>
    </row>
    <row r="44" spans="1:25" x14ac:dyDescent="0.25">
      <c r="A44" s="24">
        <v>44715</v>
      </c>
      <c r="B44" t="s">
        <v>108</v>
      </c>
      <c r="C44" t="s">
        <v>23</v>
      </c>
      <c r="D44" t="s">
        <v>22</v>
      </c>
      <c r="E44" t="s">
        <v>22</v>
      </c>
      <c r="F44" t="s">
        <v>17</v>
      </c>
      <c r="G44">
        <v>99.9</v>
      </c>
      <c r="H44">
        <v>99.6</v>
      </c>
      <c r="I44">
        <v>99.8</v>
      </c>
      <c r="V44" s="22"/>
      <c r="W44" s="22"/>
      <c r="X44" s="22"/>
      <c r="Y44" s="22" t="s">
        <v>61</v>
      </c>
    </row>
    <row r="45" spans="1:25" x14ac:dyDescent="0.25">
      <c r="A45" s="24">
        <v>44715</v>
      </c>
      <c r="B45" t="s">
        <v>105</v>
      </c>
      <c r="C45" t="s">
        <v>12</v>
      </c>
      <c r="D45" t="s">
        <v>8</v>
      </c>
      <c r="E45" t="s">
        <v>57</v>
      </c>
      <c r="F45" t="s">
        <v>18</v>
      </c>
      <c r="G45">
        <v>100</v>
      </c>
      <c r="H45">
        <v>99.7</v>
      </c>
      <c r="I45">
        <v>99.7</v>
      </c>
      <c r="M45">
        <v>100</v>
      </c>
      <c r="N45">
        <v>99.7</v>
      </c>
      <c r="O45">
        <v>99.7</v>
      </c>
      <c r="V45" s="22">
        <v>0</v>
      </c>
      <c r="W45" s="22">
        <v>0</v>
      </c>
      <c r="X45" s="22">
        <v>0</v>
      </c>
      <c r="Y45" s="22" t="s">
        <v>61</v>
      </c>
    </row>
    <row r="46" spans="1:25" x14ac:dyDescent="0.25">
      <c r="A46" s="24">
        <v>44715</v>
      </c>
      <c r="B46" t="s">
        <v>104</v>
      </c>
      <c r="C46" t="s">
        <v>12</v>
      </c>
      <c r="D46" t="s">
        <v>8</v>
      </c>
      <c r="E46" t="s">
        <v>57</v>
      </c>
      <c r="F46" t="s">
        <v>17</v>
      </c>
      <c r="G46">
        <v>99.4</v>
      </c>
      <c r="H46">
        <v>99.4</v>
      </c>
      <c r="I46">
        <v>99.5</v>
      </c>
      <c r="M46">
        <v>99.6</v>
      </c>
      <c r="N46">
        <v>99.6</v>
      </c>
      <c r="O46">
        <v>98.8</v>
      </c>
      <c r="V46" s="22">
        <v>-0.19999999999998863</v>
      </c>
      <c r="W46" s="22">
        <v>-0.19999999999998863</v>
      </c>
      <c r="X46" s="22">
        <v>0.70000000000000284</v>
      </c>
      <c r="Y46" s="22" t="s">
        <v>61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H37"/>
  <sheetViews>
    <sheetView zoomScaleNormal="100" workbookViewId="0">
      <selection activeCell="Q9" sqref="Q9"/>
    </sheetView>
  </sheetViews>
  <sheetFormatPr defaultRowHeight="15" x14ac:dyDescent="0.25"/>
  <cols>
    <col min="2" max="3" width="7.42578125" customWidth="1"/>
    <col min="4" max="4" width="4.85546875" customWidth="1"/>
    <col min="5" max="5" width="28.140625" customWidth="1"/>
    <col min="6" max="6" width="9.140625" customWidth="1"/>
    <col min="7" max="8" width="7.42578125" customWidth="1"/>
    <col min="9" max="9" width="4.85546875" customWidth="1"/>
    <col min="10" max="10" width="3.28515625" customWidth="1"/>
    <col min="11" max="11" width="3.5703125" customWidth="1"/>
    <col min="20" max="20" width="4.42578125" customWidth="1"/>
    <col min="21" max="21" width="15.28515625" customWidth="1"/>
    <col min="22" max="23" width="7.42578125" customWidth="1"/>
    <col min="24" max="24" width="5.85546875" customWidth="1"/>
    <col min="25" max="25" width="12" customWidth="1"/>
    <col min="26" max="26" width="19.28515625" customWidth="1"/>
    <col min="27" max="27" width="12" customWidth="1"/>
    <col min="28" max="29" width="27" customWidth="1"/>
    <col min="30" max="30" width="24.28515625" customWidth="1"/>
    <col min="31" max="31" width="12.140625" customWidth="1"/>
    <col min="32" max="32" width="7.140625" customWidth="1"/>
    <col min="33" max="33" width="7.85546875" customWidth="1"/>
    <col min="34" max="35" width="12" customWidth="1"/>
    <col min="36" max="36" width="12.140625" customWidth="1"/>
    <col min="37" max="38" width="27" customWidth="1"/>
    <col min="39" max="39" width="24.28515625" customWidth="1"/>
    <col min="40" max="40" width="12" bestFit="1" customWidth="1"/>
    <col min="41" max="42" width="19.28515625" bestFit="1" customWidth="1"/>
    <col min="43" max="43" width="12.140625" bestFit="1" customWidth="1"/>
    <col min="44" max="44" width="7.85546875" customWidth="1"/>
    <col min="45" max="45" width="6" customWidth="1"/>
    <col min="46" max="46" width="7.85546875" customWidth="1"/>
    <col min="47" max="48" width="12" bestFit="1" customWidth="1"/>
    <col min="49" max="49" width="12.140625" bestFit="1" customWidth="1"/>
    <col min="50" max="50" width="12" bestFit="1" customWidth="1"/>
    <col min="51" max="52" width="27" bestFit="1" customWidth="1"/>
    <col min="53" max="53" width="24.28515625" bestFit="1" customWidth="1"/>
  </cols>
  <sheetData>
    <row r="1" spans="1:34" x14ac:dyDescent="0.25">
      <c r="A1" s="5"/>
      <c r="B1" s="6"/>
      <c r="C1" s="6"/>
      <c r="D1" s="6"/>
      <c r="E1" s="6"/>
      <c r="F1" s="6"/>
      <c r="G1" s="6"/>
      <c r="H1" s="6"/>
      <c r="I1" s="6"/>
      <c r="J1" s="6"/>
      <c r="K1" s="6"/>
      <c r="L1" s="6"/>
      <c r="M1" s="6"/>
      <c r="N1" s="6"/>
      <c r="O1" s="6"/>
      <c r="P1" s="6"/>
      <c r="Q1" s="6"/>
      <c r="R1" s="6"/>
      <c r="S1" s="7"/>
      <c r="T1" s="5"/>
      <c r="U1" s="6"/>
      <c r="V1" s="6"/>
      <c r="W1" s="6"/>
      <c r="X1" s="6"/>
      <c r="Y1" s="6"/>
      <c r="Z1" s="6"/>
      <c r="AA1" s="6"/>
      <c r="AB1" s="6"/>
      <c r="AC1" s="6"/>
      <c r="AD1" s="6"/>
      <c r="AE1" s="6"/>
      <c r="AF1" s="6"/>
      <c r="AG1" s="6"/>
      <c r="AH1" s="7"/>
    </row>
    <row r="2" spans="1:34" x14ac:dyDescent="0.25">
      <c r="A2" s="3"/>
      <c r="B2" s="25"/>
      <c r="C2" s="25"/>
      <c r="D2" s="25"/>
      <c r="E2" s="25"/>
      <c r="F2" s="25"/>
      <c r="G2" s="25"/>
      <c r="H2" s="25"/>
      <c r="I2" s="25"/>
      <c r="J2" s="25"/>
      <c r="K2" s="25"/>
      <c r="L2" s="25"/>
      <c r="M2" s="25"/>
      <c r="N2" s="25"/>
      <c r="O2" s="25"/>
      <c r="P2" s="25"/>
      <c r="Q2" s="25"/>
      <c r="R2" s="25"/>
      <c r="S2" s="4"/>
      <c r="T2" s="3"/>
      <c r="U2" s="25"/>
      <c r="V2" s="25"/>
      <c r="W2" s="25"/>
      <c r="X2" s="25"/>
      <c r="Y2" s="25"/>
      <c r="Z2" s="25"/>
      <c r="AA2" s="25"/>
      <c r="AB2" s="25"/>
      <c r="AC2" s="25"/>
      <c r="AD2" s="25"/>
      <c r="AE2" s="25"/>
      <c r="AF2" s="25"/>
      <c r="AG2" s="25"/>
      <c r="AH2" s="4"/>
    </row>
    <row r="3" spans="1:34" x14ac:dyDescent="0.25">
      <c r="A3" s="3"/>
      <c r="B3" s="25"/>
      <c r="C3" s="25"/>
      <c r="D3" s="25"/>
      <c r="E3" s="25"/>
      <c r="F3" s="25"/>
      <c r="G3" s="25"/>
      <c r="H3" s="25"/>
      <c r="I3" s="25"/>
      <c r="J3" s="25"/>
      <c r="K3" s="25"/>
      <c r="L3" s="25"/>
      <c r="M3" s="25"/>
      <c r="N3" s="25"/>
      <c r="O3" s="25"/>
      <c r="P3" s="25"/>
      <c r="Q3" s="25"/>
      <c r="R3" s="25"/>
      <c r="S3" s="4"/>
      <c r="T3" s="3"/>
      <c r="U3" s="25"/>
      <c r="V3" s="25"/>
      <c r="W3" s="25"/>
      <c r="X3" s="25"/>
      <c r="Y3" s="25"/>
      <c r="Z3" s="25"/>
      <c r="AA3" s="25"/>
      <c r="AB3" s="25"/>
      <c r="AC3" s="25"/>
      <c r="AD3" s="25"/>
      <c r="AE3" s="25"/>
      <c r="AF3" s="25"/>
      <c r="AG3" s="25"/>
      <c r="AH3" s="4"/>
    </row>
    <row r="4" spans="1:34" x14ac:dyDescent="0.25">
      <c r="A4" s="3"/>
      <c r="B4" s="25"/>
      <c r="C4" s="25"/>
      <c r="D4" s="25"/>
      <c r="E4" s="25"/>
      <c r="F4" s="25"/>
      <c r="G4" s="25"/>
      <c r="H4" s="25"/>
      <c r="I4" s="25"/>
      <c r="J4" s="25"/>
      <c r="K4" s="25"/>
      <c r="L4" s="25"/>
      <c r="M4" s="25"/>
      <c r="N4" s="25"/>
      <c r="O4" s="25"/>
      <c r="P4" s="25"/>
      <c r="Q4" s="25"/>
      <c r="R4" s="25"/>
      <c r="S4" s="4"/>
      <c r="T4" s="3"/>
      <c r="U4" s="25"/>
      <c r="V4" s="25"/>
      <c r="W4" s="25"/>
      <c r="X4" s="25"/>
      <c r="Y4" s="25"/>
      <c r="Z4" s="25"/>
      <c r="AA4" s="25"/>
      <c r="AB4" s="25"/>
      <c r="AC4" s="25"/>
      <c r="AD4" s="25"/>
      <c r="AE4" s="25"/>
      <c r="AF4" s="25"/>
      <c r="AG4" s="25"/>
      <c r="AH4" s="4"/>
    </row>
    <row r="5" spans="1:34" x14ac:dyDescent="0.25">
      <c r="A5" s="3"/>
      <c r="B5" s="25"/>
      <c r="C5" s="25"/>
      <c r="D5" s="25"/>
      <c r="E5" s="25"/>
      <c r="F5" s="25"/>
      <c r="G5" s="25"/>
      <c r="H5" s="25"/>
      <c r="I5" s="25"/>
      <c r="J5" s="25"/>
      <c r="K5" s="25"/>
      <c r="L5" s="25"/>
      <c r="M5" s="25"/>
      <c r="N5" s="25"/>
      <c r="O5" s="25"/>
      <c r="P5" s="25"/>
      <c r="Q5" s="25"/>
      <c r="R5" s="25"/>
      <c r="S5" s="4"/>
      <c r="T5" s="3"/>
      <c r="U5" s="25"/>
      <c r="V5" s="25"/>
      <c r="W5" s="25"/>
      <c r="X5" s="25"/>
      <c r="Y5" s="25"/>
      <c r="Z5" s="25"/>
      <c r="AA5" s="25"/>
      <c r="AB5" s="25"/>
      <c r="AC5" s="25"/>
      <c r="AD5" s="25"/>
      <c r="AE5" s="25"/>
      <c r="AF5" s="25"/>
      <c r="AG5" s="25"/>
      <c r="AH5" s="4"/>
    </row>
    <row r="6" spans="1:34" x14ac:dyDescent="0.25">
      <c r="A6" s="3"/>
      <c r="B6" s="25"/>
      <c r="C6" s="25"/>
      <c r="D6" s="25"/>
      <c r="E6" s="25"/>
      <c r="F6" s="25"/>
      <c r="G6" s="25"/>
      <c r="H6" s="25"/>
      <c r="I6" s="25"/>
      <c r="J6" s="25"/>
      <c r="K6" s="25"/>
      <c r="L6" s="25"/>
      <c r="M6" s="25"/>
      <c r="N6" s="25"/>
      <c r="O6" s="25"/>
      <c r="P6" s="25"/>
      <c r="Q6" s="25"/>
      <c r="R6" s="25"/>
      <c r="S6" s="4"/>
      <c r="T6" s="3"/>
      <c r="U6" s="25"/>
      <c r="V6" s="25"/>
      <c r="W6" s="25"/>
      <c r="X6" s="25"/>
      <c r="Y6" s="25"/>
      <c r="Z6" s="25"/>
      <c r="AA6" s="25"/>
      <c r="AB6" s="25"/>
      <c r="AC6" s="25"/>
      <c r="AD6" s="25"/>
      <c r="AE6" s="25"/>
      <c r="AF6" s="25"/>
      <c r="AG6" s="25"/>
      <c r="AH6" s="4"/>
    </row>
    <row r="7" spans="1:34" x14ac:dyDescent="0.25">
      <c r="A7" s="3"/>
      <c r="B7" s="25"/>
      <c r="C7" s="25"/>
      <c r="D7" s="25"/>
      <c r="E7" s="25"/>
      <c r="F7" s="25"/>
      <c r="G7" s="25"/>
      <c r="H7" s="25"/>
      <c r="I7" s="25"/>
      <c r="J7" s="25"/>
      <c r="K7" s="25"/>
      <c r="L7" s="25"/>
      <c r="M7" s="25"/>
      <c r="N7" s="25"/>
      <c r="O7" s="25"/>
      <c r="P7" s="25"/>
      <c r="Q7" s="25"/>
      <c r="R7" s="25"/>
      <c r="S7" s="4"/>
      <c r="T7" s="3"/>
      <c r="U7" s="25"/>
      <c r="V7" s="25"/>
      <c r="W7" s="25"/>
      <c r="X7" s="25"/>
      <c r="Y7" s="25"/>
      <c r="Z7" s="25"/>
      <c r="AA7" s="25"/>
      <c r="AB7" s="25"/>
      <c r="AC7" s="25"/>
      <c r="AD7" s="25"/>
      <c r="AE7" s="25"/>
      <c r="AF7" s="25"/>
      <c r="AG7" s="25"/>
      <c r="AH7" s="4"/>
    </row>
    <row r="8" spans="1:34" x14ac:dyDescent="0.25">
      <c r="A8" s="3"/>
      <c r="B8" s="25"/>
      <c r="C8" s="25"/>
      <c r="D8" s="25"/>
      <c r="E8" s="25"/>
      <c r="F8" s="25"/>
      <c r="G8" s="25"/>
      <c r="H8" s="25"/>
      <c r="I8" s="25"/>
      <c r="J8" s="25"/>
      <c r="K8" s="25"/>
      <c r="L8" s="25"/>
      <c r="M8" s="25"/>
      <c r="N8" s="25"/>
      <c r="O8" s="25"/>
      <c r="P8" s="25"/>
      <c r="Q8" s="25"/>
      <c r="R8" s="25"/>
      <c r="S8" s="4"/>
      <c r="T8" s="3"/>
      <c r="U8" s="25"/>
      <c r="V8" s="25"/>
      <c r="W8" s="25"/>
      <c r="X8" s="25"/>
      <c r="Y8" s="25"/>
      <c r="Z8" s="25"/>
      <c r="AA8" s="25"/>
      <c r="AB8" s="25"/>
      <c r="AC8" s="25"/>
      <c r="AD8" s="25"/>
      <c r="AE8" s="25"/>
      <c r="AF8" s="25"/>
      <c r="AG8" s="25"/>
      <c r="AH8" s="4"/>
    </row>
    <row r="9" spans="1:34" x14ac:dyDescent="0.25">
      <c r="A9" s="3"/>
      <c r="B9" s="25"/>
      <c r="C9" s="25"/>
      <c r="D9" s="25"/>
      <c r="E9" s="25"/>
      <c r="F9" s="25"/>
      <c r="G9" s="25"/>
      <c r="H9" s="25"/>
      <c r="I9" s="25"/>
      <c r="J9" s="25"/>
      <c r="K9" s="25"/>
      <c r="L9" s="25"/>
      <c r="M9" s="25"/>
      <c r="N9" s="25"/>
      <c r="O9" s="25"/>
      <c r="P9" s="25"/>
      <c r="Q9" s="25"/>
      <c r="R9" s="25"/>
      <c r="S9" s="4"/>
      <c r="T9" s="3"/>
      <c r="U9" s="25"/>
      <c r="V9" s="25"/>
      <c r="W9" s="25"/>
      <c r="X9" s="25"/>
      <c r="Y9" s="25"/>
      <c r="Z9" s="25"/>
      <c r="AA9" s="25"/>
      <c r="AB9" s="25"/>
      <c r="AC9" s="25"/>
      <c r="AD9" s="25"/>
      <c r="AE9" s="25"/>
      <c r="AF9" s="25"/>
      <c r="AG9" s="25"/>
      <c r="AH9" s="4"/>
    </row>
    <row r="10" spans="1:34" x14ac:dyDescent="0.25">
      <c r="A10" s="3"/>
      <c r="B10" s="25"/>
      <c r="C10" s="25"/>
      <c r="D10" s="25"/>
      <c r="E10" s="25"/>
      <c r="F10" s="25"/>
      <c r="G10" s="25"/>
      <c r="H10" s="25"/>
      <c r="I10" s="25"/>
      <c r="J10" s="25"/>
      <c r="K10" s="25"/>
      <c r="L10" s="25"/>
      <c r="M10" s="25"/>
      <c r="N10" s="25"/>
      <c r="O10" s="25"/>
      <c r="P10" s="25"/>
      <c r="Q10" s="25"/>
      <c r="R10" s="25"/>
      <c r="S10" s="4"/>
      <c r="T10" s="3"/>
      <c r="U10" s="25"/>
      <c r="V10" s="25"/>
      <c r="W10" s="25"/>
      <c r="X10" s="25"/>
      <c r="Y10" s="25"/>
      <c r="Z10" s="25"/>
      <c r="AA10" s="25"/>
      <c r="AB10" s="25"/>
      <c r="AC10" s="25"/>
      <c r="AD10" s="25"/>
      <c r="AE10" s="25"/>
      <c r="AF10" s="25"/>
      <c r="AG10" s="25"/>
      <c r="AH10" s="4"/>
    </row>
    <row r="11" spans="1:34" x14ac:dyDescent="0.25">
      <c r="A11" s="3"/>
      <c r="B11" s="25"/>
      <c r="C11" s="25"/>
      <c r="D11" s="25"/>
      <c r="E11" s="25"/>
      <c r="F11" s="25"/>
      <c r="G11" s="25"/>
      <c r="H11" s="25"/>
      <c r="I11" s="25"/>
      <c r="J11" s="25"/>
      <c r="K11" s="25"/>
      <c r="L11" s="25"/>
      <c r="M11" s="25"/>
      <c r="N11" s="25"/>
      <c r="O11" s="25"/>
      <c r="P11" s="25"/>
      <c r="Q11" s="25"/>
      <c r="R11" s="25"/>
      <c r="S11" s="4"/>
      <c r="T11" s="3"/>
      <c r="U11" s="25"/>
      <c r="V11" s="25"/>
      <c r="W11" s="25"/>
      <c r="X11" s="25"/>
      <c r="Y11" s="25"/>
      <c r="Z11" s="25"/>
      <c r="AA11" s="25"/>
      <c r="AB11" s="25"/>
      <c r="AC11" s="25"/>
      <c r="AD11" s="25"/>
      <c r="AE11" s="25"/>
      <c r="AF11" s="25"/>
      <c r="AG11" s="25"/>
      <c r="AH11" s="4"/>
    </row>
    <row r="12" spans="1:34" x14ac:dyDescent="0.25">
      <c r="A12" s="3"/>
      <c r="B12" s="25"/>
      <c r="C12" s="25"/>
      <c r="D12" s="25"/>
      <c r="E12" s="25"/>
      <c r="F12" s="25"/>
      <c r="G12" s="25"/>
      <c r="H12" s="25"/>
      <c r="I12" s="25"/>
      <c r="J12" s="25"/>
      <c r="K12" s="25"/>
      <c r="L12" s="25"/>
      <c r="M12" s="25"/>
      <c r="N12" s="25"/>
      <c r="O12" s="25"/>
      <c r="P12" s="25"/>
      <c r="Q12" s="25"/>
      <c r="R12" s="25"/>
      <c r="S12" s="4"/>
      <c r="T12" s="3"/>
      <c r="U12" s="25"/>
      <c r="V12" s="25"/>
      <c r="W12" s="25"/>
      <c r="X12" s="25"/>
      <c r="Y12" s="25"/>
      <c r="Z12" s="25"/>
      <c r="AA12" s="25"/>
      <c r="AB12" s="25"/>
      <c r="AC12" s="25"/>
      <c r="AD12" s="25"/>
      <c r="AE12" s="25"/>
      <c r="AF12" s="25"/>
      <c r="AG12" s="25"/>
      <c r="AH12" s="4"/>
    </row>
    <row r="13" spans="1:34" x14ac:dyDescent="0.25">
      <c r="A13" s="3"/>
      <c r="B13" s="25"/>
      <c r="C13" s="25"/>
      <c r="D13" s="25"/>
      <c r="E13" s="25"/>
      <c r="F13" s="25"/>
      <c r="G13" s="25"/>
      <c r="H13" s="25"/>
      <c r="I13" s="25"/>
      <c r="J13" s="25"/>
      <c r="K13" s="25"/>
      <c r="L13" s="25"/>
      <c r="M13" s="25"/>
      <c r="N13" s="25"/>
      <c r="O13" s="25"/>
      <c r="P13" s="25"/>
      <c r="Q13" s="25"/>
      <c r="R13" s="25"/>
      <c r="S13" s="4"/>
      <c r="T13" s="3"/>
      <c r="U13" s="66" t="s">
        <v>68</v>
      </c>
      <c r="V13" s="66"/>
      <c r="W13" s="66"/>
      <c r="X13" s="66"/>
      <c r="Y13" s="25"/>
      <c r="Z13" s="25"/>
      <c r="AA13" s="25"/>
      <c r="AB13" s="25"/>
      <c r="AC13" s="25"/>
      <c r="AD13" s="25"/>
      <c r="AE13" s="25"/>
      <c r="AF13" s="25"/>
      <c r="AG13" s="25"/>
      <c r="AH13" s="4"/>
    </row>
    <row r="14" spans="1:34" x14ac:dyDescent="0.25">
      <c r="A14" s="3"/>
      <c r="B14" s="25"/>
      <c r="C14" s="25"/>
      <c r="D14" s="25"/>
      <c r="E14" s="25"/>
      <c r="F14" s="25"/>
      <c r="G14" s="25"/>
      <c r="H14" s="25"/>
      <c r="I14" s="25"/>
      <c r="J14" s="25"/>
      <c r="K14" s="25"/>
      <c r="L14" s="25"/>
      <c r="M14" s="25"/>
      <c r="N14" s="25"/>
      <c r="O14" s="25"/>
      <c r="P14" s="25"/>
      <c r="Q14" s="25"/>
      <c r="R14" s="25"/>
      <c r="S14" s="4"/>
      <c r="T14" s="3"/>
      <c r="U14" s="26" t="s">
        <v>67</v>
      </c>
      <c r="V14" s="25" t="s">
        <v>64</v>
      </c>
      <c r="W14" s="25" t="s">
        <v>65</v>
      </c>
      <c r="X14" s="25" t="s">
        <v>66</v>
      </c>
      <c r="Y14" s="25"/>
      <c r="Z14" s="25"/>
      <c r="AA14" s="25"/>
      <c r="AB14" s="25"/>
      <c r="AC14" s="25"/>
      <c r="AD14" s="25"/>
      <c r="AE14" s="25"/>
      <c r="AF14" s="25"/>
      <c r="AG14" s="25"/>
      <c r="AH14" s="4"/>
    </row>
    <row r="15" spans="1:34" x14ac:dyDescent="0.25">
      <c r="A15" s="3"/>
      <c r="B15" s="25"/>
      <c r="C15" s="25"/>
      <c r="D15" s="25"/>
      <c r="E15" s="25"/>
      <c r="F15" s="25"/>
      <c r="G15" s="25"/>
      <c r="H15" s="25"/>
      <c r="I15" s="25"/>
      <c r="J15" s="25"/>
      <c r="K15" s="25"/>
      <c r="L15" s="25"/>
      <c r="M15" s="25"/>
      <c r="N15" s="25"/>
      <c r="O15" s="25"/>
      <c r="P15" s="25"/>
      <c r="Q15" s="25"/>
      <c r="R15" s="25"/>
      <c r="S15" s="4"/>
      <c r="T15" s="3"/>
      <c r="U15" s="27" t="s">
        <v>11</v>
      </c>
      <c r="V15" s="23">
        <v>98.976470588235301</v>
      </c>
      <c r="W15" s="23">
        <v>99.355882352941165</v>
      </c>
      <c r="X15" s="23">
        <v>98.611764705882365</v>
      </c>
      <c r="Y15" s="25"/>
      <c r="Z15" s="25"/>
      <c r="AA15" s="25"/>
      <c r="AB15" s="25"/>
      <c r="AC15" s="25"/>
      <c r="AD15" s="25"/>
      <c r="AE15" s="25"/>
      <c r="AF15" s="25"/>
      <c r="AG15" s="25"/>
      <c r="AH15" s="4"/>
    </row>
    <row r="16" spans="1:34" x14ac:dyDescent="0.25">
      <c r="A16" s="3"/>
      <c r="B16" s="25"/>
      <c r="C16" s="25"/>
      <c r="D16" s="25"/>
      <c r="E16" s="25"/>
      <c r="F16" s="25"/>
      <c r="G16" s="25"/>
      <c r="H16" s="25"/>
      <c r="I16" s="25"/>
      <c r="J16" s="25"/>
      <c r="K16" s="25"/>
      <c r="L16" s="25"/>
      <c r="M16" s="25"/>
      <c r="N16" s="25"/>
      <c r="O16" s="25"/>
      <c r="P16" s="25"/>
      <c r="Q16" s="25"/>
      <c r="R16" s="25"/>
      <c r="S16" s="4"/>
      <c r="T16" s="3"/>
      <c r="U16" s="28" t="s">
        <v>13</v>
      </c>
      <c r="V16" s="23">
        <v>99.1</v>
      </c>
      <c r="W16" s="23">
        <v>99.5</v>
      </c>
      <c r="X16" s="23">
        <v>98.4</v>
      </c>
      <c r="Y16" s="25"/>
      <c r="Z16" s="25"/>
      <c r="AA16" s="25"/>
      <c r="AB16" s="25"/>
      <c r="AC16" s="25"/>
      <c r="AD16" s="25"/>
      <c r="AE16" s="25"/>
      <c r="AF16" s="25"/>
      <c r="AG16" s="25"/>
      <c r="AH16" s="4"/>
    </row>
    <row r="17" spans="1:34" x14ac:dyDescent="0.25">
      <c r="A17" s="3"/>
      <c r="B17" s="25"/>
      <c r="C17" s="25"/>
      <c r="D17" s="25"/>
      <c r="E17" s="25"/>
      <c r="F17" s="25"/>
      <c r="G17" s="25"/>
      <c r="H17" s="25"/>
      <c r="I17" s="25"/>
      <c r="J17" s="25"/>
      <c r="K17" s="25"/>
      <c r="L17" s="25"/>
      <c r="M17" s="25"/>
      <c r="N17" s="25"/>
      <c r="O17" s="25"/>
      <c r="P17" s="25"/>
      <c r="Q17" s="25"/>
      <c r="R17" s="25"/>
      <c r="S17" s="4"/>
      <c r="T17" s="3"/>
      <c r="U17" s="29" t="s">
        <v>61</v>
      </c>
      <c r="V17" s="23">
        <v>99.1</v>
      </c>
      <c r="W17" s="23">
        <v>99.5</v>
      </c>
      <c r="X17" s="23">
        <v>98.4</v>
      </c>
      <c r="Y17" s="25"/>
      <c r="Z17" s="25"/>
      <c r="AA17" s="25"/>
      <c r="AB17" s="25"/>
      <c r="AC17" s="25"/>
      <c r="AD17" s="25"/>
      <c r="AE17" s="25"/>
      <c r="AF17" s="25"/>
      <c r="AG17" s="25"/>
      <c r="AH17" s="4"/>
    </row>
    <row r="18" spans="1:34" x14ac:dyDescent="0.25">
      <c r="A18" s="3"/>
      <c r="B18" s="25"/>
      <c r="C18" s="25"/>
      <c r="D18" s="25"/>
      <c r="E18" s="25"/>
      <c r="F18" s="25"/>
      <c r="G18" s="25"/>
      <c r="H18" s="25"/>
      <c r="I18" s="25"/>
      <c r="J18" s="25"/>
      <c r="K18" s="25"/>
      <c r="L18" s="25"/>
      <c r="M18" s="25"/>
      <c r="N18" s="25"/>
      <c r="O18" s="25"/>
      <c r="P18" s="25"/>
      <c r="Q18" s="25"/>
      <c r="R18" s="25"/>
      <c r="S18" s="4"/>
      <c r="T18" s="3"/>
      <c r="U18" s="28" t="s">
        <v>9</v>
      </c>
      <c r="V18" s="23">
        <v>98.972727272727283</v>
      </c>
      <c r="W18" s="23">
        <v>99.35151515151513</v>
      </c>
      <c r="X18" s="23">
        <v>98.618181818181824</v>
      </c>
      <c r="Y18" s="25"/>
      <c r="Z18" s="25"/>
      <c r="AA18" s="25"/>
      <c r="AB18" s="25"/>
      <c r="AC18" s="25"/>
      <c r="AD18" s="25"/>
      <c r="AE18" s="25"/>
      <c r="AF18" s="25"/>
      <c r="AG18" s="25"/>
      <c r="AH18" s="4"/>
    </row>
    <row r="19" spans="1:34" x14ac:dyDescent="0.25">
      <c r="A19" s="3"/>
      <c r="B19" s="25"/>
      <c r="C19" s="25"/>
      <c r="D19" s="25"/>
      <c r="E19" s="25"/>
      <c r="F19" s="25"/>
      <c r="G19" s="25"/>
      <c r="H19" s="25"/>
      <c r="I19" s="25"/>
      <c r="J19" s="25"/>
      <c r="K19" s="25"/>
      <c r="L19" s="25"/>
      <c r="M19" s="25"/>
      <c r="N19" s="25"/>
      <c r="O19" s="25"/>
      <c r="P19" s="25"/>
      <c r="Q19" s="25"/>
      <c r="R19" s="25"/>
      <c r="S19" s="4"/>
      <c r="T19" s="3"/>
      <c r="U19" s="29" t="s">
        <v>62</v>
      </c>
      <c r="V19" s="23">
        <v>98.428571428571431</v>
      </c>
      <c r="W19" s="23">
        <v>98.6</v>
      </c>
      <c r="X19" s="23">
        <v>97.94285714285715</v>
      </c>
      <c r="Y19" s="25"/>
      <c r="Z19" s="25"/>
      <c r="AA19" s="25"/>
      <c r="AB19" s="25"/>
      <c r="AC19" s="25"/>
      <c r="AD19" s="25"/>
      <c r="AE19" s="25"/>
      <c r="AF19" s="25"/>
      <c r="AG19" s="25"/>
      <c r="AH19" s="4"/>
    </row>
    <row r="20" spans="1:34" x14ac:dyDescent="0.25">
      <c r="A20" s="3"/>
      <c r="B20" s="25"/>
      <c r="C20" s="25"/>
      <c r="D20" s="25"/>
      <c r="E20" s="25"/>
      <c r="F20" s="25"/>
      <c r="G20" s="25"/>
      <c r="H20" s="25"/>
      <c r="I20" s="25"/>
      <c r="J20" s="25"/>
      <c r="K20" s="25"/>
      <c r="L20" s="25"/>
      <c r="M20" s="25"/>
      <c r="N20" s="25"/>
      <c r="O20" s="25"/>
      <c r="P20" s="25"/>
      <c r="Q20" s="25"/>
      <c r="R20" s="25"/>
      <c r="S20" s="4"/>
      <c r="T20" s="3"/>
      <c r="U20" s="29" t="s">
        <v>61</v>
      </c>
      <c r="V20" s="23">
        <v>99.119230769230782</v>
      </c>
      <c r="W20" s="23">
        <v>99.553846153846138</v>
      </c>
      <c r="X20" s="23">
        <v>98.799999999999969</v>
      </c>
      <c r="Y20" s="25"/>
      <c r="Z20" s="25"/>
      <c r="AA20" s="25"/>
      <c r="AB20" s="25"/>
      <c r="AC20" s="25"/>
      <c r="AD20" s="25"/>
      <c r="AE20" s="25"/>
      <c r="AF20" s="25"/>
      <c r="AG20" s="25"/>
      <c r="AH20" s="4"/>
    </row>
    <row r="21" spans="1:34" x14ac:dyDescent="0.25">
      <c r="A21" s="3"/>
      <c r="B21" s="25"/>
      <c r="C21" s="25"/>
      <c r="D21" s="25"/>
      <c r="E21" s="25"/>
      <c r="F21" s="25"/>
      <c r="G21" s="25"/>
      <c r="H21" s="25"/>
      <c r="I21" s="25"/>
      <c r="J21" s="25"/>
      <c r="K21" s="25"/>
      <c r="L21" s="25"/>
      <c r="M21" s="25"/>
      <c r="N21" s="25"/>
      <c r="O21" s="25"/>
      <c r="P21" s="25"/>
      <c r="Q21" s="25"/>
      <c r="R21" s="25"/>
      <c r="S21" s="4"/>
      <c r="T21" s="3"/>
      <c r="U21" s="27" t="s">
        <v>13</v>
      </c>
      <c r="V21" s="23">
        <v>96.69354838709674</v>
      </c>
      <c r="W21" s="23">
        <v>95.11290322580642</v>
      </c>
      <c r="X21" s="23">
        <v>92.380645161290346</v>
      </c>
      <c r="Y21" s="25"/>
      <c r="Z21" s="25"/>
      <c r="AA21" s="25"/>
      <c r="AB21" s="25"/>
      <c r="AC21" s="25"/>
      <c r="AD21" s="25"/>
      <c r="AE21" s="25"/>
      <c r="AF21" s="25"/>
      <c r="AG21" s="25"/>
      <c r="AH21" s="4"/>
    </row>
    <row r="22" spans="1:34" x14ac:dyDescent="0.25">
      <c r="A22" s="3"/>
      <c r="B22" s="25"/>
      <c r="C22" s="25"/>
      <c r="D22" s="25"/>
      <c r="E22" s="25"/>
      <c r="F22" s="25"/>
      <c r="G22" s="25"/>
      <c r="H22" s="25"/>
      <c r="I22" s="25"/>
      <c r="J22" s="25"/>
      <c r="K22" s="25"/>
      <c r="L22" s="25"/>
      <c r="M22" s="25"/>
      <c r="N22" s="25"/>
      <c r="O22" s="25"/>
      <c r="P22" s="25"/>
      <c r="Q22" s="25"/>
      <c r="R22" s="25"/>
      <c r="S22" s="4"/>
      <c r="T22" s="3"/>
      <c r="U22" s="28" t="s">
        <v>13</v>
      </c>
      <c r="V22" s="23">
        <v>97.158823529411748</v>
      </c>
      <c r="W22" s="23">
        <v>95.28235294117647</v>
      </c>
      <c r="X22" s="23">
        <v>92.794117647058826</v>
      </c>
      <c r="Y22" s="25"/>
      <c r="Z22" s="25"/>
      <c r="AA22" s="25"/>
      <c r="AB22" s="25"/>
      <c r="AC22" s="25"/>
      <c r="AD22" s="25"/>
      <c r="AE22" s="25"/>
      <c r="AF22" s="25"/>
      <c r="AG22" s="25"/>
      <c r="AH22" s="4"/>
    </row>
    <row r="23" spans="1:34" x14ac:dyDescent="0.25">
      <c r="A23" s="3"/>
      <c r="B23" s="25"/>
      <c r="C23" s="25"/>
      <c r="D23" s="25"/>
      <c r="E23" s="25"/>
      <c r="F23" s="25"/>
      <c r="G23" s="25"/>
      <c r="H23" s="25"/>
      <c r="I23" s="25"/>
      <c r="J23" s="25"/>
      <c r="K23" s="25"/>
      <c r="L23" s="25"/>
      <c r="M23" s="25"/>
      <c r="N23" s="25"/>
      <c r="O23" s="25"/>
      <c r="P23" s="25"/>
      <c r="Q23" s="25"/>
      <c r="R23" s="25"/>
      <c r="S23" s="4"/>
      <c r="T23" s="3"/>
      <c r="U23" s="29" t="s">
        <v>61</v>
      </c>
      <c r="V23" s="23">
        <v>97.158823529411748</v>
      </c>
      <c r="W23" s="23">
        <v>95.28235294117647</v>
      </c>
      <c r="X23" s="23">
        <v>92.794117647058826</v>
      </c>
      <c r="Y23" s="25"/>
      <c r="Z23" s="25"/>
      <c r="AA23" s="25"/>
      <c r="AB23" s="25"/>
      <c r="AC23" s="25"/>
      <c r="AD23" s="25"/>
      <c r="AE23" s="25"/>
      <c r="AF23" s="25"/>
      <c r="AG23" s="25"/>
      <c r="AH23" s="4"/>
    </row>
    <row r="24" spans="1:34" x14ac:dyDescent="0.25">
      <c r="A24" s="3"/>
      <c r="B24" s="25"/>
      <c r="C24" s="25"/>
      <c r="D24" s="25"/>
      <c r="E24" s="25"/>
      <c r="F24" s="25"/>
      <c r="G24" s="25"/>
      <c r="H24" s="25"/>
      <c r="I24" s="25"/>
      <c r="J24" s="25"/>
      <c r="K24" s="25"/>
      <c r="L24" s="25"/>
      <c r="M24" s="25"/>
      <c r="N24" s="25"/>
      <c r="O24" s="25"/>
      <c r="P24" s="25"/>
      <c r="Q24" s="25"/>
      <c r="R24" s="25"/>
      <c r="S24" s="4"/>
      <c r="T24" s="3"/>
      <c r="U24" s="28" t="s">
        <v>9</v>
      </c>
      <c r="V24" s="23">
        <v>96.128571428571419</v>
      </c>
      <c r="W24" s="23">
        <v>94.907142857142858</v>
      </c>
      <c r="X24" s="23">
        <v>91.878571428571419</v>
      </c>
      <c r="Y24" s="25"/>
      <c r="Z24" s="25"/>
      <c r="AA24" s="25"/>
      <c r="AB24" s="25"/>
      <c r="AC24" s="25"/>
      <c r="AD24" s="25"/>
      <c r="AE24" s="25"/>
      <c r="AF24" s="25"/>
      <c r="AG24" s="25"/>
      <c r="AH24" s="4"/>
    </row>
    <row r="25" spans="1:34" x14ac:dyDescent="0.25">
      <c r="A25" s="3"/>
      <c r="B25" s="25"/>
      <c r="C25" s="25"/>
      <c r="D25" s="25"/>
      <c r="E25" s="25"/>
      <c r="F25" s="25"/>
      <c r="G25" s="25"/>
      <c r="H25" s="25"/>
      <c r="I25" s="25"/>
      <c r="J25" s="25"/>
      <c r="K25" s="25"/>
      <c r="L25" s="25"/>
      <c r="M25" s="25"/>
      <c r="N25" s="25"/>
      <c r="O25" s="25"/>
      <c r="P25" s="25"/>
      <c r="Q25" s="25"/>
      <c r="R25" s="25"/>
      <c r="S25" s="4"/>
      <c r="T25" s="3"/>
      <c r="U25" s="29" t="s">
        <v>62</v>
      </c>
      <c r="V25" s="23">
        <v>99.5</v>
      </c>
      <c r="W25" s="23">
        <v>98.8</v>
      </c>
      <c r="X25" s="23">
        <v>99.5</v>
      </c>
      <c r="Y25" s="25"/>
      <c r="Z25" s="25"/>
      <c r="AA25" s="25"/>
      <c r="AB25" s="25"/>
      <c r="AC25" s="25"/>
      <c r="AD25" s="25"/>
      <c r="AE25" s="25"/>
      <c r="AF25" s="25"/>
      <c r="AG25" s="25"/>
      <c r="AH25" s="4"/>
    </row>
    <row r="26" spans="1:34" x14ac:dyDescent="0.25">
      <c r="A26" s="3"/>
      <c r="B26" s="25"/>
      <c r="C26" s="25"/>
      <c r="D26" s="25"/>
      <c r="E26" s="25"/>
      <c r="F26" s="25"/>
      <c r="G26" s="25"/>
      <c r="H26" s="25"/>
      <c r="I26" s="25"/>
      <c r="J26" s="25"/>
      <c r="K26" s="25"/>
      <c r="L26" s="25"/>
      <c r="M26" s="25"/>
      <c r="N26" s="25"/>
      <c r="O26" s="25"/>
      <c r="P26" s="25"/>
      <c r="Q26" s="25"/>
      <c r="R26" s="25"/>
      <c r="S26" s="4"/>
      <c r="T26" s="3"/>
      <c r="U26" s="29" t="s">
        <v>61</v>
      </c>
      <c r="V26" s="23">
        <v>95.566666666666677</v>
      </c>
      <c r="W26" s="23">
        <v>94.25833333333334</v>
      </c>
      <c r="X26" s="23">
        <v>90.608333333333306</v>
      </c>
      <c r="Y26" s="25"/>
      <c r="Z26" s="25"/>
      <c r="AA26" s="25"/>
      <c r="AB26" s="25"/>
      <c r="AC26" s="25"/>
      <c r="AD26" s="25"/>
      <c r="AE26" s="25"/>
      <c r="AF26" s="25"/>
      <c r="AG26" s="25"/>
      <c r="AH26" s="4"/>
    </row>
    <row r="27" spans="1:34" x14ac:dyDescent="0.25">
      <c r="A27" s="3"/>
      <c r="B27" s="25"/>
      <c r="C27" s="25"/>
      <c r="D27" s="25"/>
      <c r="E27" s="25"/>
      <c r="F27" s="25"/>
      <c r="G27" s="25"/>
      <c r="H27" s="25"/>
      <c r="I27" s="25"/>
      <c r="J27" s="25"/>
      <c r="K27" s="25"/>
      <c r="L27" s="25"/>
      <c r="M27" s="25"/>
      <c r="N27" s="25"/>
      <c r="O27" s="25"/>
      <c r="P27" s="25"/>
      <c r="Q27" s="25"/>
      <c r="R27" s="25"/>
      <c r="S27" s="4"/>
      <c r="T27" s="3"/>
      <c r="U27" s="27" t="s">
        <v>63</v>
      </c>
      <c r="V27" s="23">
        <v>97.887692307692305</v>
      </c>
      <c r="W27" s="23">
        <v>97.332307692307694</v>
      </c>
      <c r="X27" s="23">
        <v>95.64</v>
      </c>
      <c r="Y27" s="25"/>
      <c r="Z27" s="25"/>
      <c r="AA27" s="25"/>
      <c r="AB27" s="25"/>
      <c r="AC27" s="25"/>
      <c r="AD27" s="25"/>
      <c r="AE27" s="25"/>
      <c r="AF27" s="25"/>
      <c r="AG27" s="25"/>
      <c r="AH27" s="4"/>
    </row>
    <row r="28" spans="1:34" x14ac:dyDescent="0.25">
      <c r="A28" s="3"/>
      <c r="B28" s="25"/>
      <c r="C28" s="25"/>
      <c r="D28" s="25"/>
      <c r="E28" s="25"/>
      <c r="F28" s="25"/>
      <c r="G28" s="25"/>
      <c r="H28" s="25"/>
      <c r="I28" s="25"/>
      <c r="J28" s="25"/>
      <c r="K28" s="25"/>
      <c r="L28" s="25"/>
      <c r="M28" s="25"/>
      <c r="N28" s="25"/>
      <c r="O28" s="25"/>
      <c r="P28" s="25"/>
      <c r="Q28" s="25"/>
      <c r="R28" s="25"/>
      <c r="S28" s="4"/>
      <c r="T28" s="3"/>
      <c r="Y28" s="25"/>
      <c r="Z28" s="25"/>
      <c r="AA28" s="25"/>
      <c r="AB28" s="25"/>
      <c r="AC28" s="25"/>
      <c r="AD28" s="25"/>
      <c r="AE28" s="25"/>
      <c r="AF28" s="25"/>
      <c r="AG28" s="25"/>
      <c r="AH28" s="4"/>
    </row>
    <row r="29" spans="1:34" x14ac:dyDescent="0.25">
      <c r="A29" s="3"/>
      <c r="B29" s="25"/>
      <c r="C29" s="25"/>
      <c r="D29" s="25"/>
      <c r="E29" s="25"/>
      <c r="F29" s="25"/>
      <c r="G29" s="25"/>
      <c r="H29" s="25"/>
      <c r="I29" s="25"/>
      <c r="J29" s="25"/>
      <c r="K29" s="25"/>
      <c r="L29" s="25"/>
      <c r="M29" s="25"/>
      <c r="N29" s="25"/>
      <c r="O29" s="25"/>
      <c r="P29" s="25"/>
      <c r="Q29" s="25"/>
      <c r="R29" s="25"/>
      <c r="S29" s="4"/>
      <c r="T29" s="3"/>
      <c r="Y29" s="25"/>
      <c r="Z29" s="25"/>
      <c r="AA29" s="25"/>
      <c r="AB29" s="25"/>
      <c r="AC29" s="25"/>
      <c r="AD29" s="25"/>
      <c r="AE29" s="25"/>
      <c r="AF29" s="25"/>
      <c r="AG29" s="25"/>
      <c r="AH29" s="4"/>
    </row>
    <row r="30" spans="1:34" x14ac:dyDescent="0.25">
      <c r="A30" s="3"/>
      <c r="B30" s="25"/>
      <c r="C30" s="25"/>
      <c r="D30" s="25"/>
      <c r="E30" s="25"/>
      <c r="F30" s="25"/>
      <c r="G30" s="25"/>
      <c r="H30" s="25"/>
      <c r="I30" s="25"/>
      <c r="J30" s="25"/>
      <c r="K30" s="25"/>
      <c r="L30" s="25"/>
      <c r="M30" s="25"/>
      <c r="N30" s="25"/>
      <c r="O30" s="25"/>
      <c r="P30" s="25"/>
      <c r="Q30" s="25"/>
      <c r="R30" s="25"/>
      <c r="S30" s="4"/>
      <c r="T30" s="3"/>
      <c r="Y30" s="25"/>
      <c r="Z30" s="25"/>
      <c r="AA30" s="25"/>
      <c r="AB30" s="25"/>
      <c r="AC30" s="25"/>
      <c r="AD30" s="25"/>
      <c r="AE30" s="25"/>
      <c r="AF30" s="25"/>
      <c r="AG30" s="25"/>
      <c r="AH30" s="4"/>
    </row>
    <row r="31" spans="1:34" x14ac:dyDescent="0.25">
      <c r="A31" s="8"/>
      <c r="B31" s="9"/>
      <c r="C31" s="9"/>
      <c r="D31" s="9"/>
      <c r="E31" s="9"/>
      <c r="F31" s="9"/>
      <c r="G31" s="9"/>
      <c r="H31" s="9"/>
      <c r="I31" s="9"/>
      <c r="J31" s="9"/>
      <c r="K31" s="9"/>
      <c r="L31" s="9"/>
      <c r="M31" s="9"/>
      <c r="N31" s="9"/>
      <c r="O31" s="9"/>
      <c r="P31" s="9"/>
      <c r="Q31" s="9"/>
      <c r="R31" s="9"/>
      <c r="S31" s="10"/>
      <c r="T31" s="8"/>
      <c r="U31" s="9"/>
      <c r="V31" s="9"/>
      <c r="W31" s="9"/>
      <c r="X31" s="9"/>
      <c r="Y31" s="9"/>
      <c r="Z31" s="9"/>
      <c r="AA31" s="9"/>
      <c r="AB31" s="9"/>
      <c r="AC31" s="9"/>
      <c r="AD31" s="9"/>
      <c r="AE31" s="9"/>
      <c r="AF31" s="9"/>
      <c r="AG31" s="9"/>
      <c r="AH31" s="10"/>
    </row>
    <row r="32" spans="1:34" x14ac:dyDescent="0.25">
      <c r="A32" s="5"/>
      <c r="B32" s="6"/>
      <c r="C32" s="6"/>
      <c r="D32" s="6"/>
      <c r="E32" s="6"/>
      <c r="F32" s="6"/>
      <c r="G32" s="6"/>
      <c r="H32" s="6"/>
      <c r="I32" s="6"/>
      <c r="J32" s="7"/>
    </row>
    <row r="33" spans="1:10" ht="46.5" customHeight="1" x14ac:dyDescent="0.25">
      <c r="A33" s="3"/>
      <c r="B33" s="67" t="s">
        <v>95</v>
      </c>
      <c r="C33" s="67"/>
      <c r="D33" s="67"/>
      <c r="E33" s="25"/>
      <c r="F33" s="25"/>
      <c r="G33" s="67" t="s">
        <v>94</v>
      </c>
      <c r="H33" s="67"/>
      <c r="I33" s="67"/>
      <c r="J33" s="4"/>
    </row>
    <row r="34" spans="1:10" x14ac:dyDescent="0.25">
      <c r="A34" s="42" t="s">
        <v>97</v>
      </c>
      <c r="B34" s="46" t="s">
        <v>64</v>
      </c>
      <c r="C34" s="46" t="s">
        <v>65</v>
      </c>
      <c r="D34" s="46" t="s">
        <v>2</v>
      </c>
      <c r="E34" s="25"/>
      <c r="F34" s="42" t="s">
        <v>97</v>
      </c>
      <c r="G34" s="46" t="s">
        <v>64</v>
      </c>
      <c r="H34" s="46" t="s">
        <v>65</v>
      </c>
      <c r="I34" s="46" t="s">
        <v>2</v>
      </c>
      <c r="J34" s="4"/>
    </row>
    <row r="35" spans="1:10" x14ac:dyDescent="0.25">
      <c r="A35" s="42" t="s">
        <v>98</v>
      </c>
      <c r="B35" s="43">
        <v>4.0500000000000043</v>
      </c>
      <c r="C35" s="43">
        <v>4.3500000000000014</v>
      </c>
      <c r="D35" s="43">
        <v>6.3500000000000014</v>
      </c>
      <c r="E35" s="25"/>
      <c r="F35" s="42" t="s">
        <v>98</v>
      </c>
      <c r="G35" s="43">
        <v>1.8166666666666675</v>
      </c>
      <c r="H35" s="43">
        <v>3.9500000000000042</v>
      </c>
      <c r="I35" s="43">
        <v>5.6333333333333337</v>
      </c>
      <c r="J35" s="4"/>
    </row>
    <row r="36" spans="1:10" ht="30" x14ac:dyDescent="0.25">
      <c r="A36" s="44" t="s">
        <v>96</v>
      </c>
      <c r="B36" s="45" t="str">
        <f>IF(B35&gt;0,"E2","ELEKTA")</f>
        <v>E2</v>
      </c>
      <c r="C36" s="45" t="str">
        <f t="shared" ref="C36:D36" si="0">IF(C35&gt;0,"E2","ELEKTA")</f>
        <v>E2</v>
      </c>
      <c r="D36" s="45" t="str">
        <f t="shared" si="0"/>
        <v>E2</v>
      </c>
      <c r="E36" s="25"/>
      <c r="F36" s="44" t="s">
        <v>96</v>
      </c>
      <c r="G36" s="45" t="str">
        <f>IF(G35&gt;0,"E1","E2")</f>
        <v>E1</v>
      </c>
      <c r="H36" s="45" t="str">
        <f t="shared" ref="H36:I36" si="1">IF(H35&gt;0,"E1","E2")</f>
        <v>E1</v>
      </c>
      <c r="I36" s="45" t="str">
        <f t="shared" si="1"/>
        <v>E1</v>
      </c>
      <c r="J36" s="4"/>
    </row>
    <row r="37" spans="1:10" x14ac:dyDescent="0.25">
      <c r="A37" s="8"/>
      <c r="B37" s="9"/>
      <c r="C37" s="9"/>
      <c r="D37" s="9"/>
      <c r="E37" s="9"/>
      <c r="F37" s="9"/>
      <c r="G37" s="9"/>
      <c r="H37" s="9"/>
      <c r="I37" s="9"/>
      <c r="J37" s="10"/>
    </row>
  </sheetData>
  <mergeCells count="3">
    <mergeCell ref="U13:X13"/>
    <mergeCell ref="B33:D33"/>
    <mergeCell ref="G33:I33"/>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 xmlns:x15="http://schemas.microsoft.com/office/spreadsheetml/2010/11/main" uri="{3A4CF648-6AED-40f4-86FF-DC5316D8AED3}">
      <x14:slicerList xmlns:x14="http://schemas.microsoft.com/office/spreadsheetml/2009/9/main">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1FF6981-9D3E-4A50-BA20-8BAAD178079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All Data</vt:lpstr>
      <vt:lpstr>Machine &amp; Rad Dev Comp</vt:lpstr>
      <vt:lpstr>Analysis</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2022-05-09T21:14:05Z</dcterms:created>
  <dcterms:modified xsi:type="dcterms:W3CDTF">2022-06-07T16:11:52Z</dcterms:modified>
</cp:coreProperties>
</file>