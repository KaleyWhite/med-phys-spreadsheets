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T:\Physics\KW\med-phys-spreadsheets\"/>
    </mc:Choice>
  </mc:AlternateContent>
  <bookViews>
    <workbookView xWindow="0" yWindow="0" windowWidth="28800" windowHeight="12300" activeTab="1"/>
  </bookViews>
  <sheets>
    <sheet name="How to Use" sheetId="3" r:id="rId1"/>
    <sheet name="Brachy Txs" sheetId="2" r:id="rId2"/>
  </sheets>
  <functionGroups builtInGroupCount="18"/>
  <definedNames>
    <definedName name="NumTxs_TotalTxs">'Brachy Txs'!$U$2:$U$66</definedName>
    <definedName name="NumTxs_TxType">'Brachy Txs'!$T$2:$T$66</definedName>
    <definedName name="ValidateMD">'Brachy Txs'!$Q$3</definedName>
    <definedName name="ValidatePhys">'Brachy Txs'!$P$3</definedName>
    <definedName name="ValidatePt">'Brachy Txs'!$O$3</definedName>
  </definedNames>
  <calcPr calcId="162913"/>
  <pivotCaches>
    <pivotCache cacheId="12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91" i="2" l="1"/>
  <c r="G491" i="2"/>
  <c r="H491" i="2"/>
  <c r="I491" i="2"/>
  <c r="J491" i="2"/>
  <c r="F490" i="2" l="1"/>
  <c r="G490" i="2"/>
  <c r="H490" i="2"/>
  <c r="I490" i="2"/>
  <c r="J490" i="2"/>
  <c r="F489" i="2" l="1"/>
  <c r="G489" i="2"/>
  <c r="H489" i="2"/>
  <c r="I489" i="2"/>
  <c r="J489" i="2"/>
  <c r="O9" i="2"/>
  <c r="O45" i="2"/>
  <c r="O81" i="2"/>
  <c r="O117" i="2"/>
  <c r="O153" i="2"/>
  <c r="O189" i="2"/>
  <c r="O225" i="2"/>
  <c r="O261" i="2"/>
  <c r="O297" i="2"/>
  <c r="O333" i="2"/>
  <c r="O369" i="2"/>
  <c r="O405" i="2"/>
  <c r="O441" i="2"/>
  <c r="O477" i="2"/>
  <c r="O28" i="2"/>
  <c r="O64" i="2"/>
  <c r="O100" i="2"/>
  <c r="O136" i="2"/>
  <c r="O172" i="2"/>
  <c r="O208" i="2"/>
  <c r="O244" i="2"/>
  <c r="O280" i="2"/>
  <c r="O322" i="2"/>
  <c r="O35" i="2"/>
  <c r="O71" i="2"/>
  <c r="O107" i="2"/>
  <c r="O143" i="2"/>
  <c r="O179" i="2"/>
  <c r="O215" i="2"/>
  <c r="O251" i="2"/>
  <c r="O287" i="2"/>
  <c r="O6" i="2"/>
  <c r="O42" i="2"/>
  <c r="O78" i="2"/>
  <c r="O114" i="2"/>
  <c r="O150" i="2"/>
  <c r="O186" i="2"/>
  <c r="O222" i="2"/>
  <c r="O258" i="2"/>
  <c r="O294" i="2"/>
  <c r="O330" i="2"/>
  <c r="O7" i="2"/>
  <c r="O43" i="2"/>
  <c r="O79" i="2"/>
  <c r="O115" i="2"/>
  <c r="O151" i="2"/>
  <c r="O187" i="2"/>
  <c r="O223" i="2"/>
  <c r="O259" i="2"/>
  <c r="O295" i="2"/>
  <c r="O331" i="2"/>
  <c r="O367" i="2"/>
  <c r="O403" i="2"/>
  <c r="O439" i="2"/>
  <c r="O475" i="2"/>
  <c r="O26" i="2"/>
  <c r="O62" i="2"/>
  <c r="O98" i="2"/>
  <c r="O134" i="2"/>
  <c r="O170" i="2"/>
  <c r="O206" i="2"/>
  <c r="O242" i="2"/>
  <c r="O278" i="2"/>
  <c r="O366" i="2"/>
  <c r="O420" i="2"/>
  <c r="O474" i="2"/>
  <c r="O449" i="2"/>
  <c r="O370" i="2"/>
  <c r="O460" i="2"/>
  <c r="O407" i="2"/>
  <c r="O470" i="2"/>
  <c r="O352" i="2"/>
  <c r="O436" i="2"/>
  <c r="O401" i="2"/>
  <c r="O334" i="2"/>
  <c r="O413" i="2"/>
  <c r="O388" i="2"/>
  <c r="O362" i="2"/>
  <c r="O444" i="2"/>
  <c r="O419" i="2"/>
  <c r="O462" i="2"/>
  <c r="O33" i="2"/>
  <c r="O177" i="2"/>
  <c r="O285" i="2"/>
  <c r="O357" i="2"/>
  <c r="O465" i="2"/>
  <c r="O124" i="2"/>
  <c r="O232" i="2"/>
  <c r="O304" i="2"/>
  <c r="O131" i="2"/>
  <c r="O239" i="2"/>
  <c r="O66" i="2"/>
  <c r="O210" i="2"/>
  <c r="O354" i="2"/>
  <c r="O103" i="2"/>
  <c r="O247" i="2"/>
  <c r="O355" i="2"/>
  <c r="O463" i="2"/>
  <c r="O86" i="2"/>
  <c r="O266" i="2"/>
  <c r="O422" i="2"/>
  <c r="O452" i="2"/>
  <c r="O365" i="2"/>
  <c r="O468" i="2"/>
  <c r="O482" i="2"/>
  <c r="O75" i="2"/>
  <c r="O183" i="2"/>
  <c r="O291" i="2"/>
  <c r="O435" i="2"/>
  <c r="O130" i="2"/>
  <c r="O238" i="2"/>
  <c r="O65" i="2"/>
  <c r="O137" i="2"/>
  <c r="O209" i="2"/>
  <c r="O72" i="2"/>
  <c r="O216" i="2"/>
  <c r="O288" i="2"/>
  <c r="O37" i="2"/>
  <c r="O145" i="2"/>
  <c r="O253" i="2"/>
  <c r="O397" i="2"/>
  <c r="O56" i="2"/>
  <c r="O200" i="2"/>
  <c r="O356" i="2"/>
  <c r="O431" i="2"/>
  <c r="O398" i="2"/>
  <c r="O418" i="2"/>
  <c r="O15" i="2"/>
  <c r="O51" i="2"/>
  <c r="O87" i="2"/>
  <c r="O123" i="2"/>
  <c r="O159" i="2"/>
  <c r="O195" i="2"/>
  <c r="O231" i="2"/>
  <c r="O267" i="2"/>
  <c r="O303" i="2"/>
  <c r="O339" i="2"/>
  <c r="O375" i="2"/>
  <c r="O411" i="2"/>
  <c r="O447" i="2"/>
  <c r="O483" i="2"/>
  <c r="O34" i="2"/>
  <c r="O70" i="2"/>
  <c r="O106" i="2"/>
  <c r="O142" i="2"/>
  <c r="O178" i="2"/>
  <c r="O214" i="2"/>
  <c r="O250" i="2"/>
  <c r="O286" i="2"/>
  <c r="O5" i="2"/>
  <c r="O41" i="2"/>
  <c r="O77" i="2"/>
  <c r="O113" i="2"/>
  <c r="O149" i="2"/>
  <c r="O185" i="2"/>
  <c r="O221" i="2"/>
  <c r="O257" i="2"/>
  <c r="O293" i="2"/>
  <c r="O12" i="2"/>
  <c r="O48" i="2"/>
  <c r="O84" i="2"/>
  <c r="O120" i="2"/>
  <c r="O156" i="2"/>
  <c r="O192" i="2"/>
  <c r="O228" i="2"/>
  <c r="O264" i="2"/>
  <c r="O300" i="2"/>
  <c r="O336" i="2"/>
  <c r="O13" i="2"/>
  <c r="O49" i="2"/>
  <c r="O85" i="2"/>
  <c r="O121" i="2"/>
  <c r="O157" i="2"/>
  <c r="O193" i="2"/>
  <c r="O229" i="2"/>
  <c r="O265" i="2"/>
  <c r="O301" i="2"/>
  <c r="O337" i="2"/>
  <c r="O373" i="2"/>
  <c r="O409" i="2"/>
  <c r="O445" i="2"/>
  <c r="O481" i="2"/>
  <c r="O32" i="2"/>
  <c r="O68" i="2"/>
  <c r="O104" i="2"/>
  <c r="O140" i="2"/>
  <c r="O176" i="2"/>
  <c r="O212" i="2"/>
  <c r="O248" i="2"/>
  <c r="O284" i="2"/>
  <c r="O376" i="2"/>
  <c r="O430" i="2"/>
  <c r="O484" i="2"/>
  <c r="O467" i="2"/>
  <c r="O378" i="2"/>
  <c r="O478" i="2"/>
  <c r="O416" i="2"/>
  <c r="O479" i="2"/>
  <c r="O364" i="2"/>
  <c r="O454" i="2"/>
  <c r="O428" i="2"/>
  <c r="O346" i="2"/>
  <c r="O440" i="2"/>
  <c r="O414" i="2"/>
  <c r="O389" i="2"/>
  <c r="O472" i="2"/>
  <c r="O437" i="2"/>
  <c r="O353" i="2"/>
  <c r="O105" i="2"/>
  <c r="O141" i="2"/>
  <c r="O249" i="2"/>
  <c r="O429" i="2"/>
  <c r="O52" i="2"/>
  <c r="O196" i="2"/>
  <c r="O59" i="2"/>
  <c r="O275" i="2"/>
  <c r="O138" i="2"/>
  <c r="O282" i="2"/>
  <c r="O67" i="2"/>
  <c r="O211" i="2"/>
  <c r="O391" i="2"/>
  <c r="O14" i="2"/>
  <c r="O122" i="2"/>
  <c r="O344" i="2"/>
  <c r="O335" i="2"/>
  <c r="O400" i="2"/>
  <c r="O323" i="2"/>
  <c r="O326" i="2"/>
  <c r="O39" i="2"/>
  <c r="O255" i="2"/>
  <c r="O399" i="2"/>
  <c r="O58" i="2"/>
  <c r="O202" i="2"/>
  <c r="O29" i="2"/>
  <c r="O173" i="2"/>
  <c r="O245" i="2"/>
  <c r="O36" i="2"/>
  <c r="O108" i="2"/>
  <c r="O252" i="2"/>
  <c r="O360" i="2"/>
  <c r="O109" i="2"/>
  <c r="O289" i="2"/>
  <c r="O433" i="2"/>
  <c r="O164" i="2"/>
  <c r="O412" i="2"/>
  <c r="O442" i="2"/>
  <c r="O320" i="2"/>
  <c r="O21" i="2"/>
  <c r="O57" i="2"/>
  <c r="O93" i="2"/>
  <c r="O129" i="2"/>
  <c r="O165" i="2"/>
  <c r="O201" i="2"/>
  <c r="O237" i="2"/>
  <c r="O273" i="2"/>
  <c r="O309" i="2"/>
  <c r="O345" i="2"/>
  <c r="O381" i="2"/>
  <c r="O417" i="2"/>
  <c r="O453" i="2"/>
  <c r="O4" i="2"/>
  <c r="O40" i="2"/>
  <c r="O76" i="2"/>
  <c r="O112" i="2"/>
  <c r="O148" i="2"/>
  <c r="O184" i="2"/>
  <c r="O220" i="2"/>
  <c r="O256" i="2"/>
  <c r="O292" i="2"/>
  <c r="O11" i="2"/>
  <c r="O47" i="2"/>
  <c r="O83" i="2"/>
  <c r="O119" i="2"/>
  <c r="O155" i="2"/>
  <c r="O191" i="2"/>
  <c r="O227" i="2"/>
  <c r="O263" i="2"/>
  <c r="O299" i="2"/>
  <c r="O18" i="2"/>
  <c r="O54" i="2"/>
  <c r="O90" i="2"/>
  <c r="O126" i="2"/>
  <c r="O162" i="2"/>
  <c r="O198" i="2"/>
  <c r="O234" i="2"/>
  <c r="O270" i="2"/>
  <c r="O306" i="2"/>
  <c r="O342" i="2"/>
  <c r="O19" i="2"/>
  <c r="O55" i="2"/>
  <c r="O91" i="2"/>
  <c r="O127" i="2"/>
  <c r="O163" i="2"/>
  <c r="O199" i="2"/>
  <c r="O235" i="2"/>
  <c r="O271" i="2"/>
  <c r="O307" i="2"/>
  <c r="O343" i="2"/>
  <c r="O379" i="2"/>
  <c r="O415" i="2"/>
  <c r="O451" i="2"/>
  <c r="O487" i="2"/>
  <c r="O38" i="2"/>
  <c r="O74" i="2"/>
  <c r="O110" i="2"/>
  <c r="O146" i="2"/>
  <c r="O182" i="2"/>
  <c r="O218" i="2"/>
  <c r="O254" i="2"/>
  <c r="O316" i="2"/>
  <c r="O384" i="2"/>
  <c r="O438" i="2"/>
  <c r="O368" i="2"/>
  <c r="O476" i="2"/>
  <c r="O396" i="2"/>
  <c r="O350" i="2"/>
  <c r="O425" i="2"/>
  <c r="O488" i="2"/>
  <c r="O382" i="2"/>
  <c r="O480" i="2"/>
  <c r="O455" i="2"/>
  <c r="O358" i="2"/>
  <c r="O458" i="2"/>
  <c r="O432" i="2"/>
  <c r="O443" i="2"/>
  <c r="O314" i="2"/>
  <c r="O464" i="2"/>
  <c r="O410" i="2"/>
  <c r="O69" i="2"/>
  <c r="O213" i="2"/>
  <c r="O321" i="2"/>
  <c r="O16" i="2"/>
  <c r="O160" i="2"/>
  <c r="O23" i="2"/>
  <c r="O167" i="2"/>
  <c r="O30" i="2"/>
  <c r="O174" i="2"/>
  <c r="O318" i="2"/>
  <c r="O139" i="2"/>
  <c r="O319" i="2"/>
  <c r="O50" i="2"/>
  <c r="O194" i="2"/>
  <c r="O456" i="2"/>
  <c r="O380" i="2"/>
  <c r="O386" i="2"/>
  <c r="O374" i="2"/>
  <c r="O111" i="2"/>
  <c r="O147" i="2"/>
  <c r="O327" i="2"/>
  <c r="O471" i="2"/>
  <c r="O166" i="2"/>
  <c r="O310" i="2"/>
  <c r="O317" i="2"/>
  <c r="O180" i="2"/>
  <c r="O324" i="2"/>
  <c r="O217" i="2"/>
  <c r="O361" i="2"/>
  <c r="O20" i="2"/>
  <c r="O128" i="2"/>
  <c r="O272" i="2"/>
  <c r="O347" i="2"/>
  <c r="O340" i="2"/>
  <c r="O395" i="2"/>
  <c r="O27" i="2"/>
  <c r="O63" i="2"/>
  <c r="O99" i="2"/>
  <c r="O135" i="2"/>
  <c r="O171" i="2"/>
  <c r="O207" i="2"/>
  <c r="O243" i="2"/>
  <c r="O279" i="2"/>
  <c r="O315" i="2"/>
  <c r="O351" i="2"/>
  <c r="O387" i="2"/>
  <c r="O423" i="2"/>
  <c r="O459" i="2"/>
  <c r="O10" i="2"/>
  <c r="O46" i="2"/>
  <c r="O82" i="2"/>
  <c r="O118" i="2"/>
  <c r="O154" i="2"/>
  <c r="O190" i="2"/>
  <c r="O226" i="2"/>
  <c r="O262" i="2"/>
  <c r="O298" i="2"/>
  <c r="O17" i="2"/>
  <c r="O53" i="2"/>
  <c r="O89" i="2"/>
  <c r="O125" i="2"/>
  <c r="O161" i="2"/>
  <c r="O197" i="2"/>
  <c r="O233" i="2"/>
  <c r="O269" i="2"/>
  <c r="O305" i="2"/>
  <c r="O24" i="2"/>
  <c r="O60" i="2"/>
  <c r="O96" i="2"/>
  <c r="O132" i="2"/>
  <c r="O168" i="2"/>
  <c r="O204" i="2"/>
  <c r="O240" i="2"/>
  <c r="O276" i="2"/>
  <c r="O312" i="2"/>
  <c r="O348" i="2"/>
  <c r="O25" i="2"/>
  <c r="O61" i="2"/>
  <c r="O97" i="2"/>
  <c r="O133" i="2"/>
  <c r="O169" i="2"/>
  <c r="O205" i="2"/>
  <c r="O241" i="2"/>
  <c r="O277" i="2"/>
  <c r="O313" i="2"/>
  <c r="O349" i="2"/>
  <c r="O385" i="2"/>
  <c r="O421" i="2"/>
  <c r="O457" i="2"/>
  <c r="O8" i="2"/>
  <c r="O44" i="2"/>
  <c r="O80" i="2"/>
  <c r="O116" i="2"/>
  <c r="O152" i="2"/>
  <c r="O188" i="2"/>
  <c r="O224" i="2"/>
  <c r="O260" i="2"/>
  <c r="O332" i="2"/>
  <c r="O394" i="2"/>
  <c r="O448" i="2"/>
  <c r="O404" i="2"/>
  <c r="O296" i="2"/>
  <c r="O406" i="2"/>
  <c r="O371" i="2"/>
  <c r="O434" i="2"/>
  <c r="O308" i="2"/>
  <c r="O390" i="2"/>
  <c r="O329" i="2"/>
  <c r="O473" i="2"/>
  <c r="O377" i="2"/>
  <c r="O485" i="2"/>
  <c r="O450" i="2"/>
  <c r="O372" i="2"/>
  <c r="O341" i="2"/>
  <c r="O302" i="2"/>
  <c r="O446" i="2"/>
  <c r="O393" i="2"/>
  <c r="O88" i="2"/>
  <c r="O268" i="2"/>
  <c r="O95" i="2"/>
  <c r="O203" i="2"/>
  <c r="O311" i="2"/>
  <c r="O102" i="2"/>
  <c r="O246" i="2"/>
  <c r="O31" i="2"/>
  <c r="O175" i="2"/>
  <c r="O283" i="2"/>
  <c r="O427" i="2"/>
  <c r="O158" i="2"/>
  <c r="O230" i="2"/>
  <c r="O402" i="2"/>
  <c r="O424" i="2"/>
  <c r="O328" i="2"/>
  <c r="O290" i="2"/>
  <c r="O408" i="2"/>
  <c r="O3" i="2"/>
  <c r="O219" i="2"/>
  <c r="O363" i="2"/>
  <c r="O22" i="2"/>
  <c r="O94" i="2"/>
  <c r="O274" i="2"/>
  <c r="O101" i="2"/>
  <c r="O281" i="2"/>
  <c r="O144" i="2"/>
  <c r="O73" i="2"/>
  <c r="O181" i="2"/>
  <c r="O325" i="2"/>
  <c r="O469" i="2"/>
  <c r="O92" i="2"/>
  <c r="O236" i="2"/>
  <c r="O466" i="2"/>
  <c r="O461" i="2"/>
  <c r="O383" i="2"/>
  <c r="O359" i="2"/>
  <c r="O486" i="2"/>
  <c r="O338" i="2"/>
  <c r="O426" i="2"/>
  <c r="O392" i="2"/>
  <c r="J488" i="2" l="1"/>
  <c r="I488" i="2"/>
  <c r="H488" i="2"/>
  <c r="G488" i="2"/>
  <c r="F488" i="2"/>
  <c r="J487" i="2"/>
  <c r="I487" i="2"/>
  <c r="H487" i="2"/>
  <c r="G487" i="2"/>
  <c r="F487" i="2"/>
  <c r="J486" i="2"/>
  <c r="I486" i="2"/>
  <c r="H486" i="2"/>
  <c r="G486" i="2"/>
  <c r="F486" i="2"/>
  <c r="J485" i="2"/>
  <c r="I485" i="2"/>
  <c r="H485" i="2"/>
  <c r="G485" i="2"/>
  <c r="F485" i="2"/>
  <c r="J484" i="2"/>
  <c r="I484" i="2"/>
  <c r="H484" i="2"/>
  <c r="G484" i="2"/>
  <c r="F484" i="2"/>
  <c r="J483" i="2"/>
  <c r="I483" i="2"/>
  <c r="H483" i="2"/>
  <c r="G483" i="2"/>
  <c r="F483" i="2"/>
  <c r="J482" i="2"/>
  <c r="I482" i="2"/>
  <c r="H482" i="2"/>
  <c r="G482" i="2"/>
  <c r="F482" i="2"/>
  <c r="J481" i="2"/>
  <c r="I481" i="2"/>
  <c r="H481" i="2"/>
  <c r="G481" i="2"/>
  <c r="F481" i="2"/>
  <c r="J480" i="2"/>
  <c r="I480" i="2"/>
  <c r="H480" i="2"/>
  <c r="G480" i="2"/>
  <c r="F480" i="2"/>
  <c r="J479" i="2"/>
  <c r="I479" i="2"/>
  <c r="H479" i="2"/>
  <c r="G479" i="2"/>
  <c r="F479" i="2"/>
  <c r="J478" i="2"/>
  <c r="I478" i="2"/>
  <c r="H478" i="2"/>
  <c r="G478" i="2"/>
  <c r="F478" i="2"/>
  <c r="J477" i="2"/>
  <c r="I477" i="2"/>
  <c r="H477" i="2"/>
  <c r="G477" i="2"/>
  <c r="F477" i="2"/>
  <c r="J476" i="2"/>
  <c r="I476" i="2"/>
  <c r="H476" i="2"/>
  <c r="G476" i="2"/>
  <c r="F476" i="2"/>
  <c r="J475" i="2"/>
  <c r="I475" i="2"/>
  <c r="H475" i="2"/>
  <c r="G475" i="2"/>
  <c r="F475" i="2"/>
  <c r="J474" i="2"/>
  <c r="I474" i="2"/>
  <c r="H474" i="2"/>
  <c r="G474" i="2"/>
  <c r="F474" i="2"/>
  <c r="J473" i="2"/>
  <c r="I473" i="2"/>
  <c r="H473" i="2"/>
  <c r="G473" i="2"/>
  <c r="F473" i="2"/>
  <c r="J472" i="2"/>
  <c r="I472" i="2"/>
  <c r="H472" i="2"/>
  <c r="G472" i="2"/>
  <c r="F472" i="2"/>
  <c r="J471" i="2"/>
  <c r="I471" i="2"/>
  <c r="H471" i="2"/>
  <c r="G471" i="2"/>
  <c r="F471" i="2"/>
  <c r="J470" i="2"/>
  <c r="I470" i="2"/>
  <c r="H470" i="2"/>
  <c r="G470" i="2"/>
  <c r="F470" i="2"/>
  <c r="J469" i="2"/>
  <c r="I469" i="2"/>
  <c r="H469" i="2"/>
  <c r="G469" i="2"/>
  <c r="F469" i="2"/>
  <c r="J468" i="2"/>
  <c r="I468" i="2"/>
  <c r="H468" i="2"/>
  <c r="G468" i="2"/>
  <c r="F468" i="2"/>
  <c r="J467" i="2"/>
  <c r="I467" i="2"/>
  <c r="H467" i="2"/>
  <c r="G467" i="2"/>
  <c r="F467" i="2"/>
  <c r="J466" i="2"/>
  <c r="I466" i="2"/>
  <c r="H466" i="2"/>
  <c r="G466" i="2"/>
  <c r="F466" i="2"/>
  <c r="J465" i="2"/>
  <c r="I465" i="2"/>
  <c r="H465" i="2"/>
  <c r="G465" i="2"/>
  <c r="F465" i="2"/>
  <c r="J464" i="2"/>
  <c r="I464" i="2"/>
  <c r="H464" i="2"/>
  <c r="G464" i="2"/>
  <c r="F464" i="2"/>
  <c r="J463" i="2"/>
  <c r="I463" i="2"/>
  <c r="H463" i="2"/>
  <c r="G463" i="2"/>
  <c r="F463" i="2"/>
  <c r="J462" i="2"/>
  <c r="I462" i="2"/>
  <c r="H462" i="2"/>
  <c r="G462" i="2"/>
  <c r="F462" i="2"/>
  <c r="J461" i="2"/>
  <c r="I461" i="2"/>
  <c r="H461" i="2"/>
  <c r="G461" i="2"/>
  <c r="F461" i="2"/>
  <c r="J460" i="2"/>
  <c r="I460" i="2"/>
  <c r="H460" i="2"/>
  <c r="G460" i="2"/>
  <c r="F460" i="2"/>
  <c r="J459" i="2"/>
  <c r="I459" i="2"/>
  <c r="H459" i="2"/>
  <c r="G459" i="2"/>
  <c r="F459" i="2"/>
  <c r="J458" i="2"/>
  <c r="I458" i="2"/>
  <c r="H458" i="2"/>
  <c r="G458" i="2"/>
  <c r="F458" i="2"/>
  <c r="J457" i="2"/>
  <c r="I457" i="2"/>
  <c r="H457" i="2"/>
  <c r="G457" i="2"/>
  <c r="F457" i="2"/>
  <c r="J456" i="2"/>
  <c r="I456" i="2"/>
  <c r="H456" i="2"/>
  <c r="G456" i="2"/>
  <c r="F456" i="2"/>
  <c r="J455" i="2"/>
  <c r="I455" i="2"/>
  <c r="H455" i="2"/>
  <c r="G455" i="2"/>
  <c r="F455" i="2"/>
  <c r="J454" i="2"/>
  <c r="I454" i="2"/>
  <c r="H454" i="2"/>
  <c r="G454" i="2"/>
  <c r="F454" i="2"/>
  <c r="J453" i="2"/>
  <c r="I453" i="2"/>
  <c r="H453" i="2"/>
  <c r="G453" i="2"/>
  <c r="F453" i="2"/>
  <c r="J452" i="2"/>
  <c r="I452" i="2"/>
  <c r="H452" i="2"/>
  <c r="G452" i="2"/>
  <c r="F452" i="2"/>
  <c r="J451" i="2"/>
  <c r="I451" i="2"/>
  <c r="H451" i="2"/>
  <c r="G451" i="2"/>
  <c r="F451" i="2"/>
  <c r="J450" i="2"/>
  <c r="I450" i="2"/>
  <c r="H450" i="2"/>
  <c r="G450" i="2"/>
  <c r="F450" i="2"/>
  <c r="J449" i="2"/>
  <c r="I449" i="2"/>
  <c r="H449" i="2"/>
  <c r="G449" i="2"/>
  <c r="F449" i="2"/>
  <c r="J448" i="2"/>
  <c r="I448" i="2"/>
  <c r="H448" i="2"/>
  <c r="G448" i="2"/>
  <c r="F448" i="2"/>
  <c r="J447" i="2"/>
  <c r="I447" i="2"/>
  <c r="H447" i="2"/>
  <c r="G447" i="2"/>
  <c r="F447" i="2"/>
  <c r="J446" i="2"/>
  <c r="I446" i="2"/>
  <c r="H446" i="2"/>
  <c r="G446" i="2"/>
  <c r="F446" i="2"/>
  <c r="J445" i="2"/>
  <c r="I445" i="2"/>
  <c r="H445" i="2"/>
  <c r="G445" i="2"/>
  <c r="F445" i="2"/>
  <c r="J444" i="2"/>
  <c r="I444" i="2"/>
  <c r="H444" i="2"/>
  <c r="G444" i="2"/>
  <c r="F444" i="2"/>
  <c r="J443" i="2"/>
  <c r="I443" i="2"/>
  <c r="H443" i="2"/>
  <c r="G443" i="2"/>
  <c r="F443" i="2"/>
  <c r="J442" i="2"/>
  <c r="I442" i="2"/>
  <c r="H442" i="2"/>
  <c r="G442" i="2"/>
  <c r="F442" i="2"/>
  <c r="J441" i="2"/>
  <c r="I441" i="2"/>
  <c r="H441" i="2"/>
  <c r="G441" i="2"/>
  <c r="F441" i="2"/>
  <c r="J440" i="2"/>
  <c r="I440" i="2"/>
  <c r="H440" i="2"/>
  <c r="G440" i="2"/>
  <c r="F440" i="2"/>
  <c r="J439" i="2"/>
  <c r="I439" i="2"/>
  <c r="H439" i="2"/>
  <c r="G439" i="2"/>
  <c r="F439" i="2"/>
  <c r="J438" i="2"/>
  <c r="I438" i="2"/>
  <c r="H438" i="2"/>
  <c r="G438" i="2"/>
  <c r="F438" i="2"/>
  <c r="J437" i="2"/>
  <c r="I437" i="2"/>
  <c r="H437" i="2"/>
  <c r="G437" i="2"/>
  <c r="F437" i="2"/>
  <c r="J436" i="2"/>
  <c r="I436" i="2"/>
  <c r="H436" i="2"/>
  <c r="G436" i="2"/>
  <c r="F436" i="2"/>
  <c r="J435" i="2"/>
  <c r="I435" i="2"/>
  <c r="H435" i="2"/>
  <c r="G435" i="2"/>
  <c r="F435" i="2"/>
  <c r="J434" i="2"/>
  <c r="I434" i="2"/>
  <c r="H434" i="2"/>
  <c r="G434" i="2"/>
  <c r="F434" i="2"/>
  <c r="J433" i="2"/>
  <c r="I433" i="2"/>
  <c r="H433" i="2"/>
  <c r="G433" i="2"/>
  <c r="F433" i="2"/>
  <c r="J432" i="2"/>
  <c r="I432" i="2"/>
  <c r="H432" i="2"/>
  <c r="G432" i="2"/>
  <c r="F432" i="2"/>
  <c r="J431" i="2"/>
  <c r="I431" i="2"/>
  <c r="H431" i="2"/>
  <c r="G431" i="2"/>
  <c r="F431" i="2"/>
  <c r="J430" i="2"/>
  <c r="I430" i="2"/>
  <c r="H430" i="2"/>
  <c r="G430" i="2"/>
  <c r="F430" i="2"/>
  <c r="J429" i="2"/>
  <c r="I429" i="2"/>
  <c r="H429" i="2"/>
  <c r="G429" i="2"/>
  <c r="F429" i="2"/>
  <c r="J428" i="2"/>
  <c r="I428" i="2"/>
  <c r="H428" i="2"/>
  <c r="G428" i="2"/>
  <c r="F428" i="2"/>
  <c r="J427" i="2"/>
  <c r="I427" i="2"/>
  <c r="H427" i="2"/>
  <c r="G427" i="2"/>
  <c r="F427" i="2"/>
  <c r="J426" i="2"/>
  <c r="I426" i="2"/>
  <c r="H426" i="2"/>
  <c r="G426" i="2"/>
  <c r="F426" i="2"/>
  <c r="J425" i="2"/>
  <c r="I425" i="2"/>
  <c r="H425" i="2"/>
  <c r="G425" i="2"/>
  <c r="F425" i="2"/>
  <c r="J424" i="2"/>
  <c r="I424" i="2"/>
  <c r="H424" i="2"/>
  <c r="G424" i="2"/>
  <c r="F424" i="2"/>
  <c r="J423" i="2"/>
  <c r="I423" i="2"/>
  <c r="H423" i="2"/>
  <c r="G423" i="2"/>
  <c r="F423" i="2"/>
  <c r="J422" i="2"/>
  <c r="I422" i="2"/>
  <c r="H422" i="2"/>
  <c r="G422" i="2"/>
  <c r="F422" i="2"/>
  <c r="J421" i="2"/>
  <c r="I421" i="2"/>
  <c r="H421" i="2"/>
  <c r="G421" i="2"/>
  <c r="F421" i="2"/>
  <c r="J420" i="2"/>
  <c r="I420" i="2"/>
  <c r="H420" i="2"/>
  <c r="G420" i="2"/>
  <c r="F420" i="2"/>
  <c r="J419" i="2"/>
  <c r="I419" i="2"/>
  <c r="H419" i="2"/>
  <c r="G419" i="2"/>
  <c r="F419" i="2"/>
  <c r="J418" i="2"/>
  <c r="I418" i="2"/>
  <c r="H418" i="2"/>
  <c r="G418" i="2"/>
  <c r="F418" i="2"/>
  <c r="J417" i="2"/>
  <c r="I417" i="2"/>
  <c r="H417" i="2"/>
  <c r="G417" i="2"/>
  <c r="F417" i="2"/>
  <c r="J416" i="2"/>
  <c r="I416" i="2"/>
  <c r="H416" i="2"/>
  <c r="G416" i="2"/>
  <c r="F416" i="2"/>
  <c r="J415" i="2"/>
  <c r="I415" i="2"/>
  <c r="H415" i="2"/>
  <c r="G415" i="2"/>
  <c r="F415" i="2"/>
  <c r="J414" i="2"/>
  <c r="I414" i="2"/>
  <c r="H414" i="2"/>
  <c r="G414" i="2"/>
  <c r="F414" i="2"/>
  <c r="J413" i="2"/>
  <c r="I413" i="2"/>
  <c r="H413" i="2"/>
  <c r="G413" i="2"/>
  <c r="F413" i="2"/>
  <c r="J412" i="2"/>
  <c r="I412" i="2"/>
  <c r="H412" i="2"/>
  <c r="G412" i="2"/>
  <c r="F412" i="2"/>
  <c r="J411" i="2"/>
  <c r="I411" i="2"/>
  <c r="H411" i="2"/>
  <c r="G411" i="2"/>
  <c r="F411" i="2"/>
  <c r="J410" i="2"/>
  <c r="I410" i="2"/>
  <c r="H410" i="2"/>
  <c r="G410" i="2"/>
  <c r="F410" i="2"/>
  <c r="J409" i="2"/>
  <c r="I409" i="2"/>
  <c r="H409" i="2"/>
  <c r="G409" i="2"/>
  <c r="F409" i="2"/>
  <c r="J408" i="2"/>
  <c r="I408" i="2"/>
  <c r="H408" i="2"/>
  <c r="G408" i="2"/>
  <c r="F408" i="2"/>
  <c r="J407" i="2"/>
  <c r="I407" i="2"/>
  <c r="H407" i="2"/>
  <c r="G407" i="2"/>
  <c r="F407" i="2"/>
  <c r="J406" i="2"/>
  <c r="I406" i="2"/>
  <c r="H406" i="2"/>
  <c r="G406" i="2"/>
  <c r="F406" i="2"/>
  <c r="J405" i="2"/>
  <c r="I405" i="2"/>
  <c r="H405" i="2"/>
  <c r="G405" i="2"/>
  <c r="F405" i="2"/>
  <c r="J404" i="2"/>
  <c r="I404" i="2"/>
  <c r="H404" i="2"/>
  <c r="G404" i="2"/>
  <c r="F404" i="2"/>
  <c r="J403" i="2"/>
  <c r="I403" i="2"/>
  <c r="H403" i="2"/>
  <c r="G403" i="2"/>
  <c r="F403" i="2"/>
  <c r="J402" i="2"/>
  <c r="I402" i="2"/>
  <c r="H402" i="2"/>
  <c r="G402" i="2"/>
  <c r="F402" i="2"/>
  <c r="J401" i="2"/>
  <c r="I401" i="2"/>
  <c r="H401" i="2"/>
  <c r="G401" i="2"/>
  <c r="F401" i="2"/>
  <c r="J400" i="2"/>
  <c r="I400" i="2"/>
  <c r="H400" i="2"/>
  <c r="G400" i="2"/>
  <c r="F400" i="2"/>
  <c r="J399" i="2"/>
  <c r="I399" i="2"/>
  <c r="H399" i="2"/>
  <c r="G399" i="2"/>
  <c r="F399" i="2"/>
  <c r="J398" i="2"/>
  <c r="I398" i="2"/>
  <c r="H398" i="2"/>
  <c r="G398" i="2"/>
  <c r="F398" i="2"/>
  <c r="J397" i="2"/>
  <c r="I397" i="2"/>
  <c r="H397" i="2"/>
  <c r="G397" i="2"/>
  <c r="F397" i="2"/>
  <c r="J396" i="2"/>
  <c r="I396" i="2"/>
  <c r="H396" i="2"/>
  <c r="G396" i="2"/>
  <c r="F396" i="2"/>
  <c r="J395" i="2"/>
  <c r="I395" i="2"/>
  <c r="H395" i="2"/>
  <c r="G395" i="2"/>
  <c r="F395" i="2"/>
  <c r="J394" i="2"/>
  <c r="I394" i="2"/>
  <c r="H394" i="2"/>
  <c r="G394" i="2"/>
  <c r="F394" i="2"/>
  <c r="J393" i="2"/>
  <c r="I393" i="2"/>
  <c r="H393" i="2"/>
  <c r="G393" i="2"/>
  <c r="F393" i="2"/>
  <c r="J392" i="2"/>
  <c r="I392" i="2"/>
  <c r="H392" i="2"/>
  <c r="G392" i="2"/>
  <c r="F392" i="2"/>
  <c r="J391" i="2"/>
  <c r="I391" i="2"/>
  <c r="H391" i="2"/>
  <c r="G391" i="2"/>
  <c r="F391" i="2"/>
  <c r="J390" i="2"/>
  <c r="I390" i="2"/>
  <c r="H390" i="2"/>
  <c r="G390" i="2"/>
  <c r="F390" i="2"/>
  <c r="J389" i="2"/>
  <c r="I389" i="2"/>
  <c r="H389" i="2"/>
  <c r="G389" i="2"/>
  <c r="F389" i="2"/>
  <c r="J388" i="2"/>
  <c r="I388" i="2"/>
  <c r="H388" i="2"/>
  <c r="G388" i="2"/>
  <c r="F388" i="2"/>
  <c r="J387" i="2"/>
  <c r="I387" i="2"/>
  <c r="H387" i="2"/>
  <c r="G387" i="2"/>
  <c r="F387" i="2"/>
  <c r="J386" i="2"/>
  <c r="I386" i="2"/>
  <c r="H386" i="2"/>
  <c r="G386" i="2"/>
  <c r="F386" i="2"/>
  <c r="J385" i="2"/>
  <c r="I385" i="2"/>
  <c r="H385" i="2"/>
  <c r="G385" i="2"/>
  <c r="F385" i="2"/>
  <c r="J384" i="2"/>
  <c r="I384" i="2"/>
  <c r="H384" i="2"/>
  <c r="G384" i="2"/>
  <c r="F384" i="2"/>
  <c r="J383" i="2"/>
  <c r="I383" i="2"/>
  <c r="H383" i="2"/>
  <c r="G383" i="2"/>
  <c r="F383" i="2"/>
  <c r="J382" i="2"/>
  <c r="I382" i="2"/>
  <c r="H382" i="2"/>
  <c r="G382" i="2"/>
  <c r="F382" i="2"/>
  <c r="J381" i="2"/>
  <c r="I381" i="2"/>
  <c r="H381" i="2"/>
  <c r="G381" i="2"/>
  <c r="F381" i="2"/>
  <c r="J380" i="2"/>
  <c r="I380" i="2"/>
  <c r="H380" i="2"/>
  <c r="G380" i="2"/>
  <c r="F380" i="2"/>
  <c r="J379" i="2"/>
  <c r="I379" i="2"/>
  <c r="H379" i="2"/>
  <c r="G379" i="2"/>
  <c r="F379" i="2"/>
  <c r="J378" i="2"/>
  <c r="I378" i="2"/>
  <c r="H378" i="2"/>
  <c r="G378" i="2"/>
  <c r="F378" i="2"/>
  <c r="J377" i="2"/>
  <c r="I377" i="2"/>
  <c r="H377" i="2"/>
  <c r="G377" i="2"/>
  <c r="F377" i="2"/>
  <c r="J376" i="2"/>
  <c r="I376" i="2"/>
  <c r="H376" i="2"/>
  <c r="G376" i="2"/>
  <c r="F376" i="2"/>
  <c r="J375" i="2"/>
  <c r="I375" i="2"/>
  <c r="H375" i="2"/>
  <c r="G375" i="2"/>
  <c r="F375" i="2"/>
  <c r="J374" i="2"/>
  <c r="I374" i="2"/>
  <c r="H374" i="2"/>
  <c r="G374" i="2"/>
  <c r="F374" i="2"/>
  <c r="J373" i="2"/>
  <c r="I373" i="2"/>
  <c r="H373" i="2"/>
  <c r="G373" i="2"/>
  <c r="F373" i="2"/>
  <c r="J372" i="2"/>
  <c r="I372" i="2"/>
  <c r="H372" i="2"/>
  <c r="G372" i="2"/>
  <c r="F372" i="2"/>
  <c r="J371" i="2"/>
  <c r="I371" i="2"/>
  <c r="H371" i="2"/>
  <c r="G371" i="2"/>
  <c r="F371" i="2"/>
  <c r="J370" i="2"/>
  <c r="I370" i="2"/>
  <c r="H370" i="2"/>
  <c r="G370" i="2"/>
  <c r="F370" i="2"/>
  <c r="J369" i="2"/>
  <c r="I369" i="2"/>
  <c r="H369" i="2"/>
  <c r="G369" i="2"/>
  <c r="F369" i="2"/>
  <c r="J368" i="2"/>
  <c r="I368" i="2"/>
  <c r="H368" i="2"/>
  <c r="G368" i="2"/>
  <c r="F368" i="2"/>
  <c r="J367" i="2"/>
  <c r="I367" i="2"/>
  <c r="H367" i="2"/>
  <c r="G367" i="2"/>
  <c r="F367" i="2"/>
  <c r="J366" i="2"/>
  <c r="I366" i="2"/>
  <c r="H366" i="2"/>
  <c r="G366" i="2"/>
  <c r="F366" i="2"/>
  <c r="J365" i="2"/>
  <c r="I365" i="2"/>
  <c r="H365" i="2"/>
  <c r="G365" i="2"/>
  <c r="F365" i="2"/>
  <c r="J364" i="2"/>
  <c r="I364" i="2"/>
  <c r="H364" i="2"/>
  <c r="G364" i="2"/>
  <c r="F364" i="2"/>
  <c r="J363" i="2"/>
  <c r="I363" i="2"/>
  <c r="H363" i="2"/>
  <c r="G363" i="2"/>
  <c r="F363" i="2"/>
  <c r="J362" i="2"/>
  <c r="I362" i="2"/>
  <c r="H362" i="2"/>
  <c r="G362" i="2"/>
  <c r="F362" i="2"/>
  <c r="J361" i="2"/>
  <c r="I361" i="2"/>
  <c r="H361" i="2"/>
  <c r="G361" i="2"/>
  <c r="F361" i="2"/>
  <c r="J360" i="2"/>
  <c r="I360" i="2"/>
  <c r="H360" i="2"/>
  <c r="G360" i="2"/>
  <c r="F360" i="2"/>
  <c r="J359" i="2"/>
  <c r="I359" i="2"/>
  <c r="H359" i="2"/>
  <c r="G359" i="2"/>
  <c r="F359" i="2"/>
  <c r="J358" i="2"/>
  <c r="I358" i="2"/>
  <c r="H358" i="2"/>
  <c r="G358" i="2"/>
  <c r="F358" i="2"/>
  <c r="J357" i="2"/>
  <c r="I357" i="2"/>
  <c r="H357" i="2"/>
  <c r="G357" i="2"/>
  <c r="F357" i="2"/>
  <c r="J356" i="2"/>
  <c r="I356" i="2"/>
  <c r="H356" i="2"/>
  <c r="G356" i="2"/>
  <c r="F356" i="2"/>
  <c r="J355" i="2"/>
  <c r="I355" i="2"/>
  <c r="H355" i="2"/>
  <c r="G355" i="2"/>
  <c r="F355" i="2"/>
  <c r="J354" i="2"/>
  <c r="I354" i="2"/>
  <c r="H354" i="2"/>
  <c r="G354" i="2"/>
  <c r="F354" i="2"/>
  <c r="J353" i="2"/>
  <c r="I353" i="2"/>
  <c r="H353" i="2"/>
  <c r="G353" i="2"/>
  <c r="F353" i="2"/>
  <c r="J352" i="2"/>
  <c r="I352" i="2"/>
  <c r="H352" i="2"/>
  <c r="G352" i="2"/>
  <c r="F352" i="2"/>
  <c r="J351" i="2"/>
  <c r="I351" i="2"/>
  <c r="H351" i="2"/>
  <c r="G351" i="2"/>
  <c r="F351" i="2"/>
  <c r="J350" i="2"/>
  <c r="I350" i="2"/>
  <c r="H350" i="2"/>
  <c r="G350" i="2"/>
  <c r="F350" i="2"/>
  <c r="J349" i="2"/>
  <c r="I349" i="2"/>
  <c r="H349" i="2"/>
  <c r="G349" i="2"/>
  <c r="F349" i="2"/>
  <c r="J348" i="2"/>
  <c r="I348" i="2"/>
  <c r="H348" i="2"/>
  <c r="G348" i="2"/>
  <c r="F348" i="2"/>
  <c r="J347" i="2"/>
  <c r="I347" i="2"/>
  <c r="H347" i="2"/>
  <c r="G347" i="2"/>
  <c r="F347" i="2"/>
  <c r="J346" i="2"/>
  <c r="I346" i="2"/>
  <c r="H346" i="2"/>
  <c r="G346" i="2"/>
  <c r="F346" i="2"/>
  <c r="J345" i="2"/>
  <c r="I345" i="2"/>
  <c r="H345" i="2"/>
  <c r="G345" i="2"/>
  <c r="F345" i="2"/>
  <c r="J344" i="2"/>
  <c r="I344" i="2"/>
  <c r="H344" i="2"/>
  <c r="G344" i="2"/>
  <c r="F344" i="2"/>
  <c r="J343" i="2"/>
  <c r="I343" i="2"/>
  <c r="H343" i="2"/>
  <c r="G343" i="2"/>
  <c r="F343" i="2"/>
  <c r="J342" i="2"/>
  <c r="I342" i="2"/>
  <c r="H342" i="2"/>
  <c r="G342" i="2"/>
  <c r="F342" i="2"/>
  <c r="J341" i="2"/>
  <c r="I341" i="2"/>
  <c r="H341" i="2"/>
  <c r="G341" i="2"/>
  <c r="F341" i="2"/>
  <c r="J340" i="2"/>
  <c r="I340" i="2"/>
  <c r="H340" i="2"/>
  <c r="G340" i="2"/>
  <c r="F340" i="2"/>
  <c r="J339" i="2"/>
  <c r="I339" i="2"/>
  <c r="H339" i="2"/>
  <c r="G339" i="2"/>
  <c r="F339" i="2"/>
  <c r="J338" i="2"/>
  <c r="I338" i="2"/>
  <c r="H338" i="2"/>
  <c r="G338" i="2"/>
  <c r="F338" i="2"/>
  <c r="J337" i="2"/>
  <c r="I337" i="2"/>
  <c r="H337" i="2"/>
  <c r="G337" i="2"/>
  <c r="F337" i="2"/>
  <c r="J336" i="2"/>
  <c r="I336" i="2"/>
  <c r="H336" i="2"/>
  <c r="G336" i="2"/>
  <c r="F336" i="2"/>
  <c r="J335" i="2"/>
  <c r="I335" i="2"/>
  <c r="H335" i="2"/>
  <c r="G335" i="2"/>
  <c r="F335" i="2"/>
  <c r="J334" i="2"/>
  <c r="I334" i="2"/>
  <c r="H334" i="2"/>
  <c r="G334" i="2"/>
  <c r="F334" i="2"/>
  <c r="J333" i="2"/>
  <c r="I333" i="2"/>
  <c r="H333" i="2"/>
  <c r="G333" i="2"/>
  <c r="F333" i="2"/>
  <c r="J332" i="2"/>
  <c r="I332" i="2"/>
  <c r="H332" i="2"/>
  <c r="G332" i="2"/>
  <c r="F332" i="2"/>
  <c r="J331" i="2"/>
  <c r="I331" i="2"/>
  <c r="H331" i="2"/>
  <c r="G331" i="2"/>
  <c r="F331" i="2"/>
  <c r="J330" i="2"/>
  <c r="I330" i="2"/>
  <c r="H330" i="2"/>
  <c r="G330" i="2"/>
  <c r="F330" i="2"/>
  <c r="J329" i="2"/>
  <c r="I329" i="2"/>
  <c r="H329" i="2"/>
  <c r="G329" i="2"/>
  <c r="F329" i="2"/>
  <c r="J328" i="2"/>
  <c r="I328" i="2"/>
  <c r="H328" i="2"/>
  <c r="G328" i="2"/>
  <c r="F328" i="2"/>
  <c r="J327" i="2"/>
  <c r="I327" i="2"/>
  <c r="H327" i="2"/>
  <c r="G327" i="2"/>
  <c r="F327" i="2"/>
  <c r="J326" i="2"/>
  <c r="I326" i="2"/>
  <c r="H326" i="2"/>
  <c r="G326" i="2"/>
  <c r="F326" i="2"/>
  <c r="J325" i="2"/>
  <c r="I325" i="2"/>
  <c r="H325" i="2"/>
  <c r="G325" i="2"/>
  <c r="F325" i="2"/>
  <c r="J324" i="2"/>
  <c r="I324" i="2"/>
  <c r="H324" i="2"/>
  <c r="G324" i="2"/>
  <c r="F324" i="2"/>
  <c r="J323" i="2"/>
  <c r="I323" i="2"/>
  <c r="H323" i="2"/>
  <c r="G323" i="2"/>
  <c r="F323" i="2"/>
  <c r="J322" i="2"/>
  <c r="I322" i="2"/>
  <c r="H322" i="2"/>
  <c r="G322" i="2"/>
  <c r="F322" i="2"/>
  <c r="J321" i="2"/>
  <c r="I321" i="2"/>
  <c r="H321" i="2"/>
  <c r="G321" i="2"/>
  <c r="F321" i="2"/>
  <c r="J320" i="2"/>
  <c r="I320" i="2"/>
  <c r="H320" i="2"/>
  <c r="G320" i="2"/>
  <c r="F320" i="2"/>
  <c r="J319" i="2"/>
  <c r="I319" i="2"/>
  <c r="H319" i="2"/>
  <c r="G319" i="2"/>
  <c r="F319" i="2"/>
  <c r="J318" i="2"/>
  <c r="I318" i="2"/>
  <c r="H318" i="2"/>
  <c r="G318" i="2"/>
  <c r="F318" i="2"/>
  <c r="J317" i="2"/>
  <c r="I317" i="2"/>
  <c r="H317" i="2"/>
  <c r="G317" i="2"/>
  <c r="F317" i="2"/>
  <c r="J316" i="2"/>
  <c r="I316" i="2"/>
  <c r="H316" i="2"/>
  <c r="G316" i="2"/>
  <c r="F316" i="2"/>
  <c r="J315" i="2"/>
  <c r="I315" i="2"/>
  <c r="H315" i="2"/>
  <c r="G315" i="2"/>
  <c r="F315" i="2"/>
  <c r="J314" i="2"/>
  <c r="I314" i="2"/>
  <c r="H314" i="2"/>
  <c r="G314" i="2"/>
  <c r="F314" i="2"/>
  <c r="J313" i="2"/>
  <c r="I313" i="2"/>
  <c r="H313" i="2"/>
  <c r="G313" i="2"/>
  <c r="F313" i="2"/>
  <c r="J312" i="2"/>
  <c r="I312" i="2"/>
  <c r="H312" i="2"/>
  <c r="G312" i="2"/>
  <c r="F312" i="2"/>
  <c r="J311" i="2"/>
  <c r="I311" i="2"/>
  <c r="H311" i="2"/>
  <c r="G311" i="2"/>
  <c r="F311" i="2"/>
  <c r="J310" i="2"/>
  <c r="I310" i="2"/>
  <c r="H310" i="2"/>
  <c r="G310" i="2"/>
  <c r="F310" i="2"/>
  <c r="J309" i="2"/>
  <c r="I309" i="2"/>
  <c r="H309" i="2"/>
  <c r="G309" i="2"/>
  <c r="F309" i="2"/>
  <c r="J308" i="2"/>
  <c r="I308" i="2"/>
  <c r="H308" i="2"/>
  <c r="G308" i="2"/>
  <c r="F308" i="2"/>
  <c r="J307" i="2"/>
  <c r="I307" i="2"/>
  <c r="H307" i="2"/>
  <c r="G307" i="2"/>
  <c r="F307" i="2"/>
  <c r="J306" i="2"/>
  <c r="I306" i="2"/>
  <c r="H306" i="2"/>
  <c r="G306" i="2"/>
  <c r="F306" i="2"/>
  <c r="J305" i="2"/>
  <c r="I305" i="2"/>
  <c r="H305" i="2"/>
  <c r="G305" i="2"/>
  <c r="F305" i="2"/>
  <c r="J304" i="2"/>
  <c r="I304" i="2"/>
  <c r="H304" i="2"/>
  <c r="G304" i="2"/>
  <c r="F304" i="2"/>
  <c r="J303" i="2"/>
  <c r="I303" i="2"/>
  <c r="H303" i="2"/>
  <c r="G303" i="2"/>
  <c r="F303" i="2"/>
  <c r="J302" i="2"/>
  <c r="I302" i="2"/>
  <c r="H302" i="2"/>
  <c r="G302" i="2"/>
  <c r="F302" i="2"/>
  <c r="J301" i="2"/>
  <c r="I301" i="2"/>
  <c r="H301" i="2"/>
  <c r="G301" i="2"/>
  <c r="F301" i="2"/>
  <c r="J300" i="2"/>
  <c r="I300" i="2"/>
  <c r="H300" i="2"/>
  <c r="G300" i="2"/>
  <c r="F300" i="2"/>
  <c r="J299" i="2"/>
  <c r="I299" i="2"/>
  <c r="H299" i="2"/>
  <c r="G299" i="2"/>
  <c r="F299" i="2"/>
  <c r="J298" i="2"/>
  <c r="I298" i="2"/>
  <c r="H298" i="2"/>
  <c r="G298" i="2"/>
  <c r="F298" i="2"/>
  <c r="J297" i="2"/>
  <c r="I297" i="2"/>
  <c r="H297" i="2"/>
  <c r="G297" i="2"/>
  <c r="F297" i="2"/>
  <c r="J296" i="2"/>
  <c r="I296" i="2"/>
  <c r="H296" i="2"/>
  <c r="G296" i="2"/>
  <c r="F296" i="2"/>
  <c r="J295" i="2"/>
  <c r="I295" i="2"/>
  <c r="H295" i="2"/>
  <c r="G295" i="2"/>
  <c r="F295" i="2"/>
  <c r="J294" i="2"/>
  <c r="I294" i="2"/>
  <c r="H294" i="2"/>
  <c r="G294" i="2"/>
  <c r="F294" i="2"/>
  <c r="J293" i="2"/>
  <c r="I293" i="2"/>
  <c r="H293" i="2"/>
  <c r="G293" i="2"/>
  <c r="F293" i="2"/>
  <c r="J292" i="2"/>
  <c r="I292" i="2"/>
  <c r="H292" i="2"/>
  <c r="G292" i="2"/>
  <c r="F292" i="2"/>
  <c r="J291" i="2"/>
  <c r="I291" i="2"/>
  <c r="H291" i="2"/>
  <c r="G291" i="2"/>
  <c r="F291" i="2"/>
  <c r="J290" i="2"/>
  <c r="I290" i="2"/>
  <c r="H290" i="2"/>
  <c r="G290" i="2"/>
  <c r="F290" i="2"/>
  <c r="J289" i="2"/>
  <c r="I289" i="2"/>
  <c r="H289" i="2"/>
  <c r="G289" i="2"/>
  <c r="F289" i="2"/>
  <c r="J288" i="2"/>
  <c r="I288" i="2"/>
  <c r="H288" i="2"/>
  <c r="G288" i="2"/>
  <c r="F288" i="2"/>
  <c r="J287" i="2"/>
  <c r="I287" i="2"/>
  <c r="H287" i="2"/>
  <c r="G287" i="2"/>
  <c r="F287" i="2"/>
  <c r="J286" i="2"/>
  <c r="I286" i="2"/>
  <c r="H286" i="2"/>
  <c r="G286" i="2"/>
  <c r="F286" i="2"/>
  <c r="J285" i="2"/>
  <c r="I285" i="2"/>
  <c r="H285" i="2"/>
  <c r="G285" i="2"/>
  <c r="F285" i="2"/>
  <c r="J284" i="2"/>
  <c r="I284" i="2"/>
  <c r="H284" i="2"/>
  <c r="G284" i="2"/>
  <c r="F284" i="2"/>
  <c r="J283" i="2"/>
  <c r="I283" i="2"/>
  <c r="H283" i="2"/>
  <c r="G283" i="2"/>
  <c r="F283" i="2"/>
  <c r="J282" i="2"/>
  <c r="I282" i="2"/>
  <c r="H282" i="2"/>
  <c r="G282" i="2"/>
  <c r="F282" i="2"/>
  <c r="J281" i="2"/>
  <c r="I281" i="2"/>
  <c r="H281" i="2"/>
  <c r="G281" i="2"/>
  <c r="F281" i="2"/>
  <c r="J280" i="2"/>
  <c r="I280" i="2"/>
  <c r="H280" i="2"/>
  <c r="G280" i="2"/>
  <c r="F280" i="2"/>
  <c r="J279" i="2"/>
  <c r="I279" i="2"/>
  <c r="H279" i="2"/>
  <c r="G279" i="2"/>
  <c r="F279" i="2"/>
  <c r="J278" i="2"/>
  <c r="I278" i="2"/>
  <c r="H278" i="2"/>
  <c r="G278" i="2"/>
  <c r="F278" i="2"/>
  <c r="J277" i="2"/>
  <c r="I277" i="2"/>
  <c r="H277" i="2"/>
  <c r="G277" i="2"/>
  <c r="F277" i="2"/>
  <c r="J276" i="2"/>
  <c r="I276" i="2"/>
  <c r="H276" i="2"/>
  <c r="G276" i="2"/>
  <c r="F276" i="2"/>
  <c r="J275" i="2"/>
  <c r="I275" i="2"/>
  <c r="H275" i="2"/>
  <c r="G275" i="2"/>
  <c r="F275" i="2"/>
  <c r="J274" i="2"/>
  <c r="I274" i="2"/>
  <c r="H274" i="2"/>
  <c r="G274" i="2"/>
  <c r="F274" i="2"/>
  <c r="J273" i="2"/>
  <c r="I273" i="2"/>
  <c r="H273" i="2"/>
  <c r="G273" i="2"/>
  <c r="F273" i="2"/>
  <c r="J272" i="2"/>
  <c r="I272" i="2"/>
  <c r="H272" i="2"/>
  <c r="G272" i="2"/>
  <c r="F272" i="2"/>
  <c r="J271" i="2"/>
  <c r="I271" i="2"/>
  <c r="H271" i="2"/>
  <c r="G271" i="2"/>
  <c r="F271" i="2"/>
  <c r="J270" i="2"/>
  <c r="I270" i="2"/>
  <c r="H270" i="2"/>
  <c r="G270" i="2"/>
  <c r="F270" i="2"/>
  <c r="J269" i="2"/>
  <c r="I269" i="2"/>
  <c r="H269" i="2"/>
  <c r="G269" i="2"/>
  <c r="F269" i="2"/>
  <c r="J268" i="2"/>
  <c r="I268" i="2"/>
  <c r="H268" i="2"/>
  <c r="G268" i="2"/>
  <c r="F268" i="2"/>
  <c r="J267" i="2"/>
  <c r="I267" i="2"/>
  <c r="H267" i="2"/>
  <c r="G267" i="2"/>
  <c r="F267" i="2"/>
  <c r="J266" i="2"/>
  <c r="I266" i="2"/>
  <c r="H266" i="2"/>
  <c r="G266" i="2"/>
  <c r="F266" i="2"/>
  <c r="J265" i="2"/>
  <c r="I265" i="2"/>
  <c r="H265" i="2"/>
  <c r="G265" i="2"/>
  <c r="F265" i="2"/>
  <c r="J264" i="2"/>
  <c r="I264" i="2"/>
  <c r="H264" i="2"/>
  <c r="G264" i="2"/>
  <c r="F264" i="2"/>
  <c r="J263" i="2"/>
  <c r="I263" i="2"/>
  <c r="H263" i="2"/>
  <c r="G263" i="2"/>
  <c r="F263" i="2"/>
  <c r="J262" i="2"/>
  <c r="I262" i="2"/>
  <c r="H262" i="2"/>
  <c r="G262" i="2"/>
  <c r="F262" i="2"/>
  <c r="J261" i="2"/>
  <c r="I261" i="2"/>
  <c r="H261" i="2"/>
  <c r="G261" i="2"/>
  <c r="F261" i="2"/>
  <c r="J260" i="2"/>
  <c r="I260" i="2"/>
  <c r="H260" i="2"/>
  <c r="G260" i="2"/>
  <c r="F260" i="2"/>
  <c r="J259" i="2"/>
  <c r="I259" i="2"/>
  <c r="H259" i="2"/>
  <c r="G259" i="2"/>
  <c r="F259" i="2"/>
  <c r="J258" i="2"/>
  <c r="I258" i="2"/>
  <c r="H258" i="2"/>
  <c r="G258" i="2"/>
  <c r="F258" i="2"/>
  <c r="J257" i="2"/>
  <c r="I257" i="2"/>
  <c r="H257" i="2"/>
  <c r="G257" i="2"/>
  <c r="F257" i="2"/>
  <c r="J256" i="2"/>
  <c r="I256" i="2"/>
  <c r="H256" i="2"/>
  <c r="G256" i="2"/>
  <c r="F256" i="2"/>
  <c r="J255" i="2"/>
  <c r="I255" i="2"/>
  <c r="H255" i="2"/>
  <c r="G255" i="2"/>
  <c r="F255" i="2"/>
  <c r="J254" i="2"/>
  <c r="I254" i="2"/>
  <c r="H254" i="2"/>
  <c r="G254" i="2"/>
  <c r="F254" i="2"/>
  <c r="J253" i="2"/>
  <c r="I253" i="2"/>
  <c r="H253" i="2"/>
  <c r="G253" i="2"/>
  <c r="F253" i="2"/>
  <c r="J252" i="2"/>
  <c r="I252" i="2"/>
  <c r="H252" i="2"/>
  <c r="G252" i="2"/>
  <c r="F252" i="2"/>
  <c r="J251" i="2"/>
  <c r="I251" i="2"/>
  <c r="H251" i="2"/>
  <c r="G251" i="2"/>
  <c r="F251" i="2"/>
  <c r="J250" i="2"/>
  <c r="I250" i="2"/>
  <c r="H250" i="2"/>
  <c r="G250" i="2"/>
  <c r="F250" i="2"/>
  <c r="J249" i="2"/>
  <c r="I249" i="2"/>
  <c r="H249" i="2"/>
  <c r="G249" i="2"/>
  <c r="F249" i="2"/>
  <c r="J248" i="2"/>
  <c r="I248" i="2"/>
  <c r="H248" i="2"/>
  <c r="G248" i="2"/>
  <c r="F248" i="2"/>
  <c r="J247" i="2"/>
  <c r="I247" i="2"/>
  <c r="H247" i="2"/>
  <c r="G247" i="2"/>
  <c r="F247" i="2"/>
  <c r="J246" i="2"/>
  <c r="I246" i="2"/>
  <c r="H246" i="2"/>
  <c r="G246" i="2"/>
  <c r="F246" i="2"/>
  <c r="J245" i="2"/>
  <c r="I245" i="2"/>
  <c r="H245" i="2"/>
  <c r="G245" i="2"/>
  <c r="F245" i="2"/>
  <c r="J244" i="2"/>
  <c r="I244" i="2"/>
  <c r="H244" i="2"/>
  <c r="G244" i="2"/>
  <c r="F244" i="2"/>
  <c r="J243" i="2"/>
  <c r="I243" i="2"/>
  <c r="H243" i="2"/>
  <c r="G243" i="2"/>
  <c r="F243" i="2"/>
  <c r="J242" i="2"/>
  <c r="I242" i="2"/>
  <c r="H242" i="2"/>
  <c r="G242" i="2"/>
  <c r="F242" i="2"/>
  <c r="J241" i="2"/>
  <c r="I241" i="2"/>
  <c r="H241" i="2"/>
  <c r="G241" i="2"/>
  <c r="F241" i="2"/>
  <c r="J240" i="2"/>
  <c r="I240" i="2"/>
  <c r="H240" i="2"/>
  <c r="G240" i="2"/>
  <c r="F240" i="2"/>
  <c r="J239" i="2"/>
  <c r="I239" i="2"/>
  <c r="H239" i="2"/>
  <c r="G239" i="2"/>
  <c r="F239" i="2"/>
  <c r="J238" i="2"/>
  <c r="I238" i="2"/>
  <c r="H238" i="2"/>
  <c r="G238" i="2"/>
  <c r="F238" i="2"/>
  <c r="J237" i="2"/>
  <c r="I237" i="2"/>
  <c r="H237" i="2"/>
  <c r="G237" i="2"/>
  <c r="F237" i="2"/>
  <c r="J236" i="2"/>
  <c r="I236" i="2"/>
  <c r="H236" i="2"/>
  <c r="G236" i="2"/>
  <c r="F236" i="2"/>
  <c r="J235" i="2"/>
  <c r="I235" i="2"/>
  <c r="H235" i="2"/>
  <c r="G235" i="2"/>
  <c r="F235" i="2"/>
  <c r="J234" i="2"/>
  <c r="I234" i="2"/>
  <c r="H234" i="2"/>
  <c r="G234" i="2"/>
  <c r="F234" i="2"/>
  <c r="J233" i="2"/>
  <c r="I233" i="2"/>
  <c r="H233" i="2"/>
  <c r="G233" i="2"/>
  <c r="F233" i="2"/>
  <c r="J232" i="2"/>
  <c r="I232" i="2"/>
  <c r="H232" i="2"/>
  <c r="G232" i="2"/>
  <c r="F232" i="2"/>
  <c r="J231" i="2"/>
  <c r="I231" i="2"/>
  <c r="H231" i="2"/>
  <c r="G231" i="2"/>
  <c r="F231" i="2"/>
  <c r="J230" i="2"/>
  <c r="I230" i="2"/>
  <c r="H230" i="2"/>
  <c r="G230" i="2"/>
  <c r="F230" i="2"/>
  <c r="J229" i="2"/>
  <c r="I229" i="2"/>
  <c r="H229" i="2"/>
  <c r="G229" i="2"/>
  <c r="F229" i="2"/>
  <c r="J228" i="2"/>
  <c r="I228" i="2"/>
  <c r="H228" i="2"/>
  <c r="G228" i="2"/>
  <c r="F228" i="2"/>
  <c r="J227" i="2"/>
  <c r="I227" i="2"/>
  <c r="H227" i="2"/>
  <c r="G227" i="2"/>
  <c r="F227" i="2"/>
  <c r="J226" i="2"/>
  <c r="I226" i="2"/>
  <c r="H226" i="2"/>
  <c r="G226" i="2"/>
  <c r="F226" i="2"/>
  <c r="J225" i="2"/>
  <c r="I225" i="2"/>
  <c r="H225" i="2"/>
  <c r="G225" i="2"/>
  <c r="F225" i="2"/>
  <c r="J224" i="2"/>
  <c r="I224" i="2"/>
  <c r="H224" i="2"/>
  <c r="G224" i="2"/>
  <c r="F224" i="2"/>
  <c r="J223" i="2"/>
  <c r="I223" i="2"/>
  <c r="H223" i="2"/>
  <c r="G223" i="2"/>
  <c r="F223" i="2"/>
  <c r="J222" i="2"/>
  <c r="I222" i="2"/>
  <c r="H222" i="2"/>
  <c r="G222" i="2"/>
  <c r="F222" i="2"/>
  <c r="J221" i="2"/>
  <c r="I221" i="2"/>
  <c r="H221" i="2"/>
  <c r="G221" i="2"/>
  <c r="F221" i="2"/>
  <c r="J220" i="2"/>
  <c r="I220" i="2"/>
  <c r="H220" i="2"/>
  <c r="G220" i="2"/>
  <c r="F220" i="2"/>
  <c r="J219" i="2"/>
  <c r="I219" i="2"/>
  <c r="H219" i="2"/>
  <c r="G219" i="2"/>
  <c r="F219" i="2"/>
  <c r="J218" i="2"/>
  <c r="I218" i="2"/>
  <c r="H218" i="2"/>
  <c r="G218" i="2"/>
  <c r="F218" i="2"/>
  <c r="J217" i="2"/>
  <c r="I217" i="2"/>
  <c r="H217" i="2"/>
  <c r="G217" i="2"/>
  <c r="F217" i="2"/>
  <c r="J216" i="2"/>
  <c r="I216" i="2"/>
  <c r="H216" i="2"/>
  <c r="G216" i="2"/>
  <c r="F216" i="2"/>
  <c r="J215" i="2"/>
  <c r="I215" i="2"/>
  <c r="H215" i="2"/>
  <c r="G215" i="2"/>
  <c r="F215" i="2"/>
  <c r="J214" i="2"/>
  <c r="I214" i="2"/>
  <c r="H214" i="2"/>
  <c r="G214" i="2"/>
  <c r="F214" i="2"/>
  <c r="J213" i="2"/>
  <c r="I213" i="2"/>
  <c r="H213" i="2"/>
  <c r="G213" i="2"/>
  <c r="F213" i="2"/>
  <c r="J212" i="2"/>
  <c r="I212" i="2"/>
  <c r="H212" i="2"/>
  <c r="G212" i="2"/>
  <c r="F212" i="2"/>
  <c r="J211" i="2"/>
  <c r="I211" i="2"/>
  <c r="H211" i="2"/>
  <c r="G211" i="2"/>
  <c r="F211" i="2"/>
  <c r="J210" i="2"/>
  <c r="I210" i="2"/>
  <c r="H210" i="2"/>
  <c r="G210" i="2"/>
  <c r="F210" i="2"/>
  <c r="J209" i="2"/>
  <c r="I209" i="2"/>
  <c r="H209" i="2"/>
  <c r="G209" i="2"/>
  <c r="F209" i="2"/>
  <c r="J208" i="2"/>
  <c r="I208" i="2"/>
  <c r="H208" i="2"/>
  <c r="G208" i="2"/>
  <c r="F208" i="2"/>
  <c r="J207" i="2"/>
  <c r="I207" i="2"/>
  <c r="H207" i="2"/>
  <c r="G207" i="2"/>
  <c r="F207" i="2"/>
  <c r="J206" i="2"/>
  <c r="I206" i="2"/>
  <c r="H206" i="2"/>
  <c r="G206" i="2"/>
  <c r="F206" i="2"/>
  <c r="J205" i="2"/>
  <c r="I205" i="2"/>
  <c r="H205" i="2"/>
  <c r="G205" i="2"/>
  <c r="F205" i="2"/>
  <c r="J204" i="2"/>
  <c r="I204" i="2"/>
  <c r="H204" i="2"/>
  <c r="G204" i="2"/>
  <c r="F204" i="2"/>
  <c r="J203" i="2"/>
  <c r="I203" i="2"/>
  <c r="H203" i="2"/>
  <c r="G203" i="2"/>
  <c r="F203" i="2"/>
  <c r="J202" i="2"/>
  <c r="I202" i="2"/>
  <c r="H202" i="2"/>
  <c r="G202" i="2"/>
  <c r="F202" i="2"/>
  <c r="J201" i="2"/>
  <c r="I201" i="2"/>
  <c r="H201" i="2"/>
  <c r="G201" i="2"/>
  <c r="F201" i="2"/>
  <c r="J200" i="2"/>
  <c r="I200" i="2"/>
  <c r="H200" i="2"/>
  <c r="G200" i="2"/>
  <c r="F200" i="2"/>
  <c r="J199" i="2"/>
  <c r="I199" i="2"/>
  <c r="H199" i="2"/>
  <c r="G199" i="2"/>
  <c r="F199" i="2"/>
  <c r="J198" i="2"/>
  <c r="I198" i="2"/>
  <c r="H198" i="2"/>
  <c r="G198" i="2"/>
  <c r="F198" i="2"/>
  <c r="J197" i="2"/>
  <c r="I197" i="2"/>
  <c r="H197" i="2"/>
  <c r="G197" i="2"/>
  <c r="F197" i="2"/>
  <c r="J196" i="2"/>
  <c r="I196" i="2"/>
  <c r="H196" i="2"/>
  <c r="G196" i="2"/>
  <c r="F196" i="2"/>
  <c r="J195" i="2"/>
  <c r="I195" i="2"/>
  <c r="H195" i="2"/>
  <c r="G195" i="2"/>
  <c r="F195" i="2"/>
  <c r="J194" i="2"/>
  <c r="I194" i="2"/>
  <c r="H194" i="2"/>
  <c r="G194" i="2"/>
  <c r="F194" i="2"/>
  <c r="J193" i="2"/>
  <c r="I193" i="2"/>
  <c r="H193" i="2"/>
  <c r="G193" i="2"/>
  <c r="F193" i="2"/>
  <c r="J192" i="2"/>
  <c r="I192" i="2"/>
  <c r="H192" i="2"/>
  <c r="G192" i="2"/>
  <c r="F192" i="2"/>
  <c r="J191" i="2"/>
  <c r="I191" i="2"/>
  <c r="H191" i="2"/>
  <c r="G191" i="2"/>
  <c r="F191" i="2"/>
  <c r="J190" i="2"/>
  <c r="I190" i="2"/>
  <c r="H190" i="2"/>
  <c r="G190" i="2"/>
  <c r="F190" i="2"/>
  <c r="J189" i="2"/>
  <c r="I189" i="2"/>
  <c r="H189" i="2"/>
  <c r="G189" i="2"/>
  <c r="F189" i="2"/>
  <c r="J188" i="2"/>
  <c r="I188" i="2"/>
  <c r="H188" i="2"/>
  <c r="G188" i="2"/>
  <c r="F188" i="2"/>
  <c r="J187" i="2"/>
  <c r="I187" i="2"/>
  <c r="H187" i="2"/>
  <c r="G187" i="2"/>
  <c r="F187" i="2"/>
  <c r="J186" i="2"/>
  <c r="I186" i="2"/>
  <c r="H186" i="2"/>
  <c r="G186" i="2"/>
  <c r="F186" i="2"/>
  <c r="J185" i="2"/>
  <c r="I185" i="2"/>
  <c r="H185" i="2"/>
  <c r="G185" i="2"/>
  <c r="F185" i="2"/>
  <c r="J184" i="2"/>
  <c r="I184" i="2"/>
  <c r="H184" i="2"/>
  <c r="G184" i="2"/>
  <c r="F184" i="2"/>
  <c r="J183" i="2"/>
  <c r="I183" i="2"/>
  <c r="H183" i="2"/>
  <c r="G183" i="2"/>
  <c r="F183" i="2"/>
  <c r="J182" i="2"/>
  <c r="I182" i="2"/>
  <c r="H182" i="2"/>
  <c r="G182" i="2"/>
  <c r="F182" i="2"/>
  <c r="J181" i="2"/>
  <c r="I181" i="2"/>
  <c r="H181" i="2"/>
  <c r="G181" i="2"/>
  <c r="F181" i="2"/>
  <c r="J180" i="2"/>
  <c r="I180" i="2"/>
  <c r="H180" i="2"/>
  <c r="G180" i="2"/>
  <c r="F180" i="2"/>
  <c r="J179" i="2"/>
  <c r="I179" i="2"/>
  <c r="H179" i="2"/>
  <c r="G179" i="2"/>
  <c r="F179" i="2"/>
  <c r="J178" i="2"/>
  <c r="I178" i="2"/>
  <c r="H178" i="2"/>
  <c r="G178" i="2"/>
  <c r="F178" i="2"/>
  <c r="J177" i="2"/>
  <c r="I177" i="2"/>
  <c r="H177" i="2"/>
  <c r="G177" i="2"/>
  <c r="F177" i="2"/>
  <c r="J176" i="2"/>
  <c r="I176" i="2"/>
  <c r="H176" i="2"/>
  <c r="G176" i="2"/>
  <c r="F176" i="2"/>
  <c r="J175" i="2"/>
  <c r="I175" i="2"/>
  <c r="H175" i="2"/>
  <c r="G175" i="2"/>
  <c r="F175" i="2"/>
  <c r="J174" i="2"/>
  <c r="I174" i="2"/>
  <c r="H174" i="2"/>
  <c r="G174" i="2"/>
  <c r="F174" i="2"/>
  <c r="J173" i="2"/>
  <c r="I173" i="2"/>
  <c r="H173" i="2"/>
  <c r="G173" i="2"/>
  <c r="F173" i="2"/>
  <c r="J172" i="2"/>
  <c r="I172" i="2"/>
  <c r="H172" i="2"/>
  <c r="G172" i="2"/>
  <c r="F172" i="2"/>
  <c r="J171" i="2"/>
  <c r="I171" i="2"/>
  <c r="H171" i="2"/>
  <c r="G171" i="2"/>
  <c r="F171" i="2"/>
  <c r="J170" i="2"/>
  <c r="I170" i="2"/>
  <c r="H170" i="2"/>
  <c r="G170" i="2"/>
  <c r="F170" i="2"/>
  <c r="J169" i="2"/>
  <c r="I169" i="2"/>
  <c r="H169" i="2"/>
  <c r="G169" i="2"/>
  <c r="F169" i="2"/>
  <c r="J168" i="2"/>
  <c r="I168" i="2"/>
  <c r="H168" i="2"/>
  <c r="G168" i="2"/>
  <c r="F168" i="2"/>
  <c r="J167" i="2"/>
  <c r="I167" i="2"/>
  <c r="H167" i="2"/>
  <c r="G167" i="2"/>
  <c r="F167" i="2"/>
  <c r="J166" i="2"/>
  <c r="I166" i="2"/>
  <c r="H166" i="2"/>
  <c r="G166" i="2"/>
  <c r="F166" i="2"/>
  <c r="J165" i="2"/>
  <c r="I165" i="2"/>
  <c r="H165" i="2"/>
  <c r="G165" i="2"/>
  <c r="F165" i="2"/>
  <c r="J164" i="2"/>
  <c r="I164" i="2"/>
  <c r="H164" i="2"/>
  <c r="G164" i="2"/>
  <c r="F164" i="2"/>
  <c r="J163" i="2"/>
  <c r="I163" i="2"/>
  <c r="H163" i="2"/>
  <c r="G163" i="2"/>
  <c r="F163" i="2"/>
  <c r="J162" i="2"/>
  <c r="I162" i="2"/>
  <c r="H162" i="2"/>
  <c r="G162" i="2"/>
  <c r="F162" i="2"/>
  <c r="J161" i="2"/>
  <c r="I161" i="2"/>
  <c r="H161" i="2"/>
  <c r="G161" i="2"/>
  <c r="F161" i="2"/>
  <c r="J160" i="2"/>
  <c r="I160" i="2"/>
  <c r="H160" i="2"/>
  <c r="G160" i="2"/>
  <c r="F160" i="2"/>
  <c r="J159" i="2"/>
  <c r="I159" i="2"/>
  <c r="H159" i="2"/>
  <c r="G159" i="2"/>
  <c r="F159" i="2"/>
  <c r="J158" i="2"/>
  <c r="I158" i="2"/>
  <c r="H158" i="2"/>
  <c r="G158" i="2"/>
  <c r="F158" i="2"/>
  <c r="J157" i="2"/>
  <c r="I157" i="2"/>
  <c r="H157" i="2"/>
  <c r="G157" i="2"/>
  <c r="F157" i="2"/>
  <c r="J156" i="2"/>
  <c r="I156" i="2"/>
  <c r="H156" i="2"/>
  <c r="G156" i="2"/>
  <c r="F156" i="2"/>
  <c r="J155" i="2"/>
  <c r="I155" i="2"/>
  <c r="H155" i="2"/>
  <c r="G155" i="2"/>
  <c r="F155" i="2"/>
  <c r="J154" i="2"/>
  <c r="I154" i="2"/>
  <c r="H154" i="2"/>
  <c r="G154" i="2"/>
  <c r="F154" i="2"/>
  <c r="J153" i="2"/>
  <c r="I153" i="2"/>
  <c r="H153" i="2"/>
  <c r="G153" i="2"/>
  <c r="F153" i="2"/>
  <c r="J152" i="2"/>
  <c r="I152" i="2"/>
  <c r="H152" i="2"/>
  <c r="G152" i="2"/>
  <c r="F152" i="2"/>
  <c r="J151" i="2"/>
  <c r="I151" i="2"/>
  <c r="H151" i="2"/>
  <c r="G151" i="2"/>
  <c r="F151" i="2"/>
  <c r="J150" i="2"/>
  <c r="I150" i="2"/>
  <c r="H150" i="2"/>
  <c r="G150" i="2"/>
  <c r="F150" i="2"/>
  <c r="J149" i="2"/>
  <c r="I149" i="2"/>
  <c r="H149" i="2"/>
  <c r="G149" i="2"/>
  <c r="F149" i="2"/>
  <c r="J148" i="2"/>
  <c r="I148" i="2"/>
  <c r="H148" i="2"/>
  <c r="G148" i="2"/>
  <c r="F148" i="2"/>
  <c r="J147" i="2"/>
  <c r="I147" i="2"/>
  <c r="H147" i="2"/>
  <c r="G147" i="2"/>
  <c r="F147" i="2"/>
  <c r="J146" i="2"/>
  <c r="I146" i="2"/>
  <c r="H146" i="2"/>
  <c r="G146" i="2"/>
  <c r="F146" i="2"/>
  <c r="J145" i="2"/>
  <c r="I145" i="2"/>
  <c r="H145" i="2"/>
  <c r="G145" i="2"/>
  <c r="F145" i="2"/>
  <c r="J144" i="2"/>
  <c r="I144" i="2"/>
  <c r="H144" i="2"/>
  <c r="G144" i="2"/>
  <c r="F144" i="2"/>
  <c r="J143" i="2"/>
  <c r="I143" i="2"/>
  <c r="H143" i="2"/>
  <c r="G143" i="2"/>
  <c r="F143" i="2"/>
  <c r="J142" i="2"/>
  <c r="I142" i="2"/>
  <c r="H142" i="2"/>
  <c r="G142" i="2"/>
  <c r="F142" i="2"/>
  <c r="J141" i="2"/>
  <c r="I141" i="2"/>
  <c r="H141" i="2"/>
  <c r="G141" i="2"/>
  <c r="F141" i="2"/>
  <c r="J140" i="2"/>
  <c r="I140" i="2"/>
  <c r="H140" i="2"/>
  <c r="G140" i="2"/>
  <c r="F140" i="2"/>
  <c r="J139" i="2"/>
  <c r="I139" i="2"/>
  <c r="H139" i="2"/>
  <c r="G139" i="2"/>
  <c r="F139" i="2"/>
  <c r="J138" i="2"/>
  <c r="I138" i="2"/>
  <c r="H138" i="2"/>
  <c r="G138" i="2"/>
  <c r="F138" i="2"/>
  <c r="J137" i="2"/>
  <c r="I137" i="2"/>
  <c r="H137" i="2"/>
  <c r="G137" i="2"/>
  <c r="F137" i="2"/>
  <c r="J136" i="2"/>
  <c r="I136" i="2"/>
  <c r="H136" i="2"/>
  <c r="G136" i="2"/>
  <c r="F136" i="2"/>
  <c r="J135" i="2"/>
  <c r="I135" i="2"/>
  <c r="H135" i="2"/>
  <c r="G135" i="2"/>
  <c r="F135" i="2"/>
  <c r="J134" i="2"/>
  <c r="I134" i="2"/>
  <c r="H134" i="2"/>
  <c r="G134" i="2"/>
  <c r="F134" i="2"/>
  <c r="J133" i="2"/>
  <c r="I133" i="2"/>
  <c r="H133" i="2"/>
  <c r="G133" i="2"/>
  <c r="F133" i="2"/>
  <c r="J132" i="2"/>
  <c r="I132" i="2"/>
  <c r="H132" i="2"/>
  <c r="G132" i="2"/>
  <c r="F132" i="2"/>
  <c r="J131" i="2"/>
  <c r="I131" i="2"/>
  <c r="H131" i="2"/>
  <c r="G131" i="2"/>
  <c r="F131" i="2"/>
  <c r="J130" i="2"/>
  <c r="I130" i="2"/>
  <c r="H130" i="2"/>
  <c r="G130" i="2"/>
  <c r="F130" i="2"/>
  <c r="J129" i="2"/>
  <c r="I129" i="2"/>
  <c r="H129" i="2"/>
  <c r="G129" i="2"/>
  <c r="F129" i="2"/>
  <c r="J128" i="2"/>
  <c r="I128" i="2"/>
  <c r="H128" i="2"/>
  <c r="G128" i="2"/>
  <c r="F128" i="2"/>
  <c r="J127" i="2"/>
  <c r="I127" i="2"/>
  <c r="H127" i="2"/>
  <c r="G127" i="2"/>
  <c r="F127" i="2"/>
  <c r="J126" i="2"/>
  <c r="I126" i="2"/>
  <c r="H126" i="2"/>
  <c r="G126" i="2"/>
  <c r="F126" i="2"/>
  <c r="J125" i="2"/>
  <c r="I125" i="2"/>
  <c r="H125" i="2"/>
  <c r="G125" i="2"/>
  <c r="F125" i="2"/>
  <c r="J124" i="2"/>
  <c r="I124" i="2"/>
  <c r="H124" i="2"/>
  <c r="G124" i="2"/>
  <c r="F124" i="2"/>
  <c r="J123" i="2"/>
  <c r="I123" i="2"/>
  <c r="H123" i="2"/>
  <c r="G123" i="2"/>
  <c r="F123" i="2"/>
  <c r="J122" i="2"/>
  <c r="I122" i="2"/>
  <c r="H122" i="2"/>
  <c r="G122" i="2"/>
  <c r="F122" i="2"/>
  <c r="J121" i="2"/>
  <c r="I121" i="2"/>
  <c r="H121" i="2"/>
  <c r="G121" i="2"/>
  <c r="F121" i="2"/>
  <c r="J120" i="2"/>
  <c r="I120" i="2"/>
  <c r="H120" i="2"/>
  <c r="G120" i="2"/>
  <c r="F120" i="2"/>
  <c r="J119" i="2"/>
  <c r="I119" i="2"/>
  <c r="H119" i="2"/>
  <c r="G119" i="2"/>
  <c r="F119" i="2"/>
  <c r="J118" i="2"/>
  <c r="I118" i="2"/>
  <c r="H118" i="2"/>
  <c r="G118" i="2"/>
  <c r="F118" i="2"/>
  <c r="J117" i="2"/>
  <c r="I117" i="2"/>
  <c r="H117" i="2"/>
  <c r="G117" i="2"/>
  <c r="F117" i="2"/>
  <c r="J116" i="2"/>
  <c r="I116" i="2"/>
  <c r="H116" i="2"/>
  <c r="G116" i="2"/>
  <c r="F116" i="2"/>
  <c r="J115" i="2"/>
  <c r="I115" i="2"/>
  <c r="H115" i="2"/>
  <c r="G115" i="2"/>
  <c r="F115" i="2"/>
  <c r="J114" i="2"/>
  <c r="I114" i="2"/>
  <c r="H114" i="2"/>
  <c r="G114" i="2"/>
  <c r="F114" i="2"/>
  <c r="J113" i="2"/>
  <c r="I113" i="2"/>
  <c r="H113" i="2"/>
  <c r="G113" i="2"/>
  <c r="F113" i="2"/>
  <c r="J112" i="2"/>
  <c r="I112" i="2"/>
  <c r="H112" i="2"/>
  <c r="G112" i="2"/>
  <c r="F112" i="2"/>
  <c r="J111" i="2"/>
  <c r="I111" i="2"/>
  <c r="H111" i="2"/>
  <c r="G111" i="2"/>
  <c r="F111" i="2"/>
  <c r="J110" i="2"/>
  <c r="I110" i="2"/>
  <c r="H110" i="2"/>
  <c r="G110" i="2"/>
  <c r="F110" i="2"/>
  <c r="J109" i="2"/>
  <c r="I109" i="2"/>
  <c r="H109" i="2"/>
  <c r="G109" i="2"/>
  <c r="F109" i="2"/>
  <c r="J108" i="2"/>
  <c r="I108" i="2"/>
  <c r="H108" i="2"/>
  <c r="G108" i="2"/>
  <c r="F108" i="2"/>
  <c r="J107" i="2"/>
  <c r="I107" i="2"/>
  <c r="H107" i="2"/>
  <c r="G107" i="2"/>
  <c r="F107" i="2"/>
  <c r="J106" i="2"/>
  <c r="I106" i="2"/>
  <c r="H106" i="2"/>
  <c r="G106" i="2"/>
  <c r="F106" i="2"/>
  <c r="J105" i="2"/>
  <c r="I105" i="2"/>
  <c r="H105" i="2"/>
  <c r="G105" i="2"/>
  <c r="F105" i="2"/>
  <c r="J104" i="2"/>
  <c r="I104" i="2"/>
  <c r="H104" i="2"/>
  <c r="G104" i="2"/>
  <c r="F104" i="2"/>
  <c r="J103" i="2"/>
  <c r="I103" i="2"/>
  <c r="H103" i="2"/>
  <c r="G103" i="2"/>
  <c r="F103" i="2"/>
  <c r="J102" i="2"/>
  <c r="I102" i="2"/>
  <c r="H102" i="2"/>
  <c r="G102" i="2"/>
  <c r="F102" i="2"/>
  <c r="J101" i="2"/>
  <c r="I101" i="2"/>
  <c r="H101" i="2"/>
  <c r="G101" i="2"/>
  <c r="F101" i="2"/>
  <c r="J100" i="2"/>
  <c r="I100" i="2"/>
  <c r="H100" i="2"/>
  <c r="G100" i="2"/>
  <c r="F100" i="2"/>
  <c r="J99" i="2"/>
  <c r="I99" i="2"/>
  <c r="H99" i="2"/>
  <c r="G99" i="2"/>
  <c r="F99" i="2"/>
  <c r="J98" i="2"/>
  <c r="I98" i="2"/>
  <c r="H98" i="2"/>
  <c r="G98" i="2"/>
  <c r="F98" i="2"/>
  <c r="J97" i="2"/>
  <c r="I97" i="2"/>
  <c r="H97" i="2"/>
  <c r="G97" i="2"/>
  <c r="F97" i="2"/>
  <c r="J96" i="2"/>
  <c r="I96" i="2"/>
  <c r="H96" i="2"/>
  <c r="G96" i="2"/>
  <c r="F96" i="2"/>
  <c r="J95" i="2"/>
  <c r="I95" i="2"/>
  <c r="H95" i="2"/>
  <c r="G95" i="2"/>
  <c r="F95" i="2"/>
  <c r="J94" i="2"/>
  <c r="I94" i="2"/>
  <c r="H94" i="2"/>
  <c r="G94" i="2"/>
  <c r="F94" i="2"/>
  <c r="J93" i="2"/>
  <c r="I93" i="2"/>
  <c r="H93" i="2"/>
  <c r="G93" i="2"/>
  <c r="F93" i="2"/>
  <c r="J92" i="2"/>
  <c r="I92" i="2"/>
  <c r="H92" i="2"/>
  <c r="G92" i="2"/>
  <c r="F92" i="2"/>
  <c r="J91" i="2"/>
  <c r="I91" i="2"/>
  <c r="H91" i="2"/>
  <c r="G91" i="2"/>
  <c r="F91" i="2"/>
  <c r="J90" i="2"/>
  <c r="I90" i="2"/>
  <c r="H90" i="2"/>
  <c r="G90" i="2"/>
  <c r="F90" i="2"/>
  <c r="J89" i="2"/>
  <c r="I89" i="2"/>
  <c r="H89" i="2"/>
  <c r="G89" i="2"/>
  <c r="F89" i="2"/>
  <c r="J88" i="2"/>
  <c r="I88" i="2"/>
  <c r="H88" i="2"/>
  <c r="G88" i="2"/>
  <c r="F88" i="2"/>
  <c r="J87" i="2"/>
  <c r="I87" i="2"/>
  <c r="H87" i="2"/>
  <c r="G87" i="2"/>
  <c r="F87" i="2"/>
  <c r="J86" i="2"/>
  <c r="I86" i="2"/>
  <c r="H86" i="2"/>
  <c r="G86" i="2"/>
  <c r="F86" i="2"/>
  <c r="J85" i="2"/>
  <c r="I85" i="2"/>
  <c r="H85" i="2"/>
  <c r="G85" i="2"/>
  <c r="F85" i="2"/>
  <c r="J84" i="2"/>
  <c r="I84" i="2"/>
  <c r="H84" i="2"/>
  <c r="G84" i="2"/>
  <c r="F84" i="2"/>
  <c r="J83" i="2"/>
  <c r="I83" i="2"/>
  <c r="H83" i="2"/>
  <c r="G83" i="2"/>
  <c r="F83" i="2"/>
  <c r="J82" i="2"/>
  <c r="I82" i="2"/>
  <c r="H82" i="2"/>
  <c r="G82" i="2"/>
  <c r="F82" i="2"/>
  <c r="J81" i="2"/>
  <c r="I81" i="2"/>
  <c r="H81" i="2"/>
  <c r="G81" i="2"/>
  <c r="F81" i="2"/>
  <c r="J80" i="2"/>
  <c r="I80" i="2"/>
  <c r="H80" i="2"/>
  <c r="G80" i="2"/>
  <c r="F80" i="2"/>
  <c r="J79" i="2"/>
  <c r="I79" i="2"/>
  <c r="H79" i="2"/>
  <c r="G79" i="2"/>
  <c r="F79" i="2"/>
  <c r="J78" i="2"/>
  <c r="I78" i="2"/>
  <c r="H78" i="2"/>
  <c r="G78" i="2"/>
  <c r="F78" i="2"/>
  <c r="J77" i="2"/>
  <c r="I77" i="2"/>
  <c r="H77" i="2"/>
  <c r="G77" i="2"/>
  <c r="F77" i="2"/>
  <c r="J76" i="2"/>
  <c r="I76" i="2"/>
  <c r="H76" i="2"/>
  <c r="G76" i="2"/>
  <c r="F76" i="2"/>
  <c r="J75" i="2"/>
  <c r="I75" i="2"/>
  <c r="H75" i="2"/>
  <c r="G75" i="2"/>
  <c r="F75" i="2"/>
  <c r="J74" i="2"/>
  <c r="I74" i="2"/>
  <c r="H74" i="2"/>
  <c r="G74" i="2"/>
  <c r="F74" i="2"/>
  <c r="J73" i="2"/>
  <c r="I73" i="2"/>
  <c r="H73" i="2"/>
  <c r="G73" i="2"/>
  <c r="F73" i="2"/>
  <c r="J72" i="2"/>
  <c r="I72" i="2"/>
  <c r="H72" i="2"/>
  <c r="G72" i="2"/>
  <c r="F72" i="2"/>
  <c r="J71" i="2"/>
  <c r="I71" i="2"/>
  <c r="H71" i="2"/>
  <c r="G71" i="2"/>
  <c r="F71" i="2"/>
  <c r="J70" i="2"/>
  <c r="I70" i="2"/>
  <c r="H70" i="2"/>
  <c r="G70" i="2"/>
  <c r="F70" i="2"/>
  <c r="J69" i="2"/>
  <c r="I69" i="2"/>
  <c r="H69" i="2"/>
  <c r="G69" i="2"/>
  <c r="F69" i="2"/>
  <c r="J68" i="2"/>
  <c r="I68" i="2"/>
  <c r="H68" i="2"/>
  <c r="G68" i="2"/>
  <c r="F68" i="2"/>
  <c r="J67" i="2"/>
  <c r="I67" i="2"/>
  <c r="H67" i="2"/>
  <c r="G67" i="2"/>
  <c r="F67" i="2"/>
  <c r="J66" i="2"/>
  <c r="I66" i="2"/>
  <c r="H66" i="2"/>
  <c r="G66" i="2"/>
  <c r="F66" i="2"/>
  <c r="J65" i="2"/>
  <c r="I65" i="2"/>
  <c r="H65" i="2"/>
  <c r="G65" i="2"/>
  <c r="F65" i="2"/>
  <c r="J64" i="2"/>
  <c r="I64" i="2"/>
  <c r="H64" i="2"/>
  <c r="G64" i="2"/>
  <c r="F64" i="2"/>
  <c r="J63" i="2"/>
  <c r="I63" i="2"/>
  <c r="H63" i="2"/>
  <c r="G63" i="2"/>
  <c r="F63" i="2"/>
  <c r="J62" i="2"/>
  <c r="I62" i="2"/>
  <c r="H62" i="2"/>
  <c r="G62" i="2"/>
  <c r="F62" i="2"/>
  <c r="J61" i="2"/>
  <c r="I61" i="2"/>
  <c r="H61" i="2"/>
  <c r="G61" i="2"/>
  <c r="F61" i="2"/>
  <c r="J60" i="2"/>
  <c r="I60" i="2"/>
  <c r="H60" i="2"/>
  <c r="G60" i="2"/>
  <c r="F60" i="2"/>
  <c r="J59" i="2"/>
  <c r="I59" i="2"/>
  <c r="H59" i="2"/>
  <c r="G59" i="2"/>
  <c r="F59" i="2"/>
  <c r="J58" i="2"/>
  <c r="I58" i="2"/>
  <c r="H58" i="2"/>
  <c r="G58" i="2"/>
  <c r="F58" i="2"/>
  <c r="J57" i="2"/>
  <c r="I57" i="2"/>
  <c r="H57" i="2"/>
  <c r="G57" i="2"/>
  <c r="F57" i="2"/>
  <c r="J56" i="2"/>
  <c r="I56" i="2"/>
  <c r="H56" i="2"/>
  <c r="G56" i="2"/>
  <c r="F56" i="2"/>
  <c r="J55" i="2"/>
  <c r="I55" i="2"/>
  <c r="H55" i="2"/>
  <c r="G55" i="2"/>
  <c r="F55" i="2"/>
  <c r="J54" i="2"/>
  <c r="I54" i="2"/>
  <c r="H54" i="2"/>
  <c r="G54" i="2"/>
  <c r="F54" i="2"/>
  <c r="J53" i="2"/>
  <c r="I53" i="2"/>
  <c r="H53" i="2"/>
  <c r="G53" i="2"/>
  <c r="F53" i="2"/>
  <c r="J52" i="2"/>
  <c r="I52" i="2"/>
  <c r="H52" i="2"/>
  <c r="G52" i="2"/>
  <c r="F52" i="2"/>
  <c r="J51" i="2"/>
  <c r="I51" i="2"/>
  <c r="H51" i="2"/>
  <c r="G51" i="2"/>
  <c r="F51" i="2"/>
  <c r="J50" i="2"/>
  <c r="I50" i="2"/>
  <c r="H50" i="2"/>
  <c r="G50" i="2"/>
  <c r="F50" i="2"/>
  <c r="J49" i="2"/>
  <c r="I49" i="2"/>
  <c r="H49" i="2"/>
  <c r="G49" i="2"/>
  <c r="F49" i="2"/>
  <c r="J48" i="2"/>
  <c r="I48" i="2"/>
  <c r="H48" i="2"/>
  <c r="G48" i="2"/>
  <c r="F48" i="2"/>
  <c r="J47" i="2"/>
  <c r="I47" i="2"/>
  <c r="H47" i="2"/>
  <c r="G47" i="2"/>
  <c r="F47" i="2"/>
  <c r="J46" i="2"/>
  <c r="I46" i="2"/>
  <c r="H46" i="2"/>
  <c r="G46" i="2"/>
  <c r="F46" i="2"/>
  <c r="J45" i="2"/>
  <c r="I45" i="2"/>
  <c r="H45" i="2"/>
  <c r="G45" i="2"/>
  <c r="F45" i="2"/>
  <c r="J44" i="2"/>
  <c r="I44" i="2"/>
  <c r="H44" i="2"/>
  <c r="G44" i="2"/>
  <c r="F44" i="2"/>
  <c r="J43" i="2"/>
  <c r="I43" i="2"/>
  <c r="H43" i="2"/>
  <c r="G43" i="2"/>
  <c r="F43" i="2"/>
  <c r="J42" i="2"/>
  <c r="I42" i="2"/>
  <c r="H42" i="2"/>
  <c r="G42" i="2"/>
  <c r="F42" i="2"/>
  <c r="J41" i="2"/>
  <c r="I41" i="2"/>
  <c r="H41" i="2"/>
  <c r="G41" i="2"/>
  <c r="F41" i="2"/>
  <c r="J40" i="2"/>
  <c r="I40" i="2"/>
  <c r="H40" i="2"/>
  <c r="G40" i="2"/>
  <c r="F40" i="2"/>
  <c r="J39" i="2"/>
  <c r="I39" i="2"/>
  <c r="H39" i="2"/>
  <c r="G39" i="2"/>
  <c r="F39" i="2"/>
  <c r="J38" i="2"/>
  <c r="I38" i="2"/>
  <c r="H38" i="2"/>
  <c r="G38" i="2"/>
  <c r="F38" i="2"/>
  <c r="J37" i="2"/>
  <c r="I37" i="2"/>
  <c r="H37" i="2"/>
  <c r="G37" i="2"/>
  <c r="F37" i="2"/>
  <c r="J36" i="2"/>
  <c r="I36" i="2"/>
  <c r="H36" i="2"/>
  <c r="G36" i="2"/>
  <c r="F36" i="2"/>
  <c r="J35" i="2"/>
  <c r="I35" i="2"/>
  <c r="H35" i="2"/>
  <c r="G35" i="2"/>
  <c r="F35" i="2"/>
  <c r="J34" i="2"/>
  <c r="I34" i="2"/>
  <c r="H34" i="2"/>
  <c r="G34" i="2"/>
  <c r="F34" i="2"/>
  <c r="J33" i="2"/>
  <c r="I33" i="2"/>
  <c r="H33" i="2"/>
  <c r="G33" i="2"/>
  <c r="F33" i="2"/>
  <c r="J32" i="2"/>
  <c r="I32" i="2"/>
  <c r="H32" i="2"/>
  <c r="G32" i="2"/>
  <c r="F32" i="2"/>
  <c r="J31" i="2"/>
  <c r="I31" i="2"/>
  <c r="H31" i="2"/>
  <c r="G31" i="2"/>
  <c r="F31" i="2"/>
  <c r="J30" i="2"/>
  <c r="I30" i="2"/>
  <c r="H30" i="2"/>
  <c r="G30" i="2"/>
  <c r="F30" i="2"/>
  <c r="J29" i="2"/>
  <c r="I29" i="2"/>
  <c r="H29" i="2"/>
  <c r="G29" i="2"/>
  <c r="F29" i="2"/>
  <c r="J28" i="2"/>
  <c r="I28" i="2"/>
  <c r="H28" i="2"/>
  <c r="G28" i="2"/>
  <c r="F28" i="2"/>
  <c r="J27" i="2"/>
  <c r="I27" i="2"/>
  <c r="H27" i="2"/>
  <c r="G27" i="2"/>
  <c r="F27" i="2"/>
  <c r="J26" i="2"/>
  <c r="I26" i="2"/>
  <c r="H26" i="2"/>
  <c r="G26" i="2"/>
  <c r="F26" i="2"/>
  <c r="J25" i="2"/>
  <c r="I25" i="2"/>
  <c r="H25" i="2"/>
  <c r="G25" i="2"/>
  <c r="F25" i="2"/>
  <c r="J24" i="2"/>
  <c r="I24" i="2"/>
  <c r="H24" i="2"/>
  <c r="G24" i="2"/>
  <c r="F24" i="2"/>
  <c r="J23" i="2"/>
  <c r="I23" i="2"/>
  <c r="H23" i="2"/>
  <c r="G23" i="2"/>
  <c r="F23" i="2"/>
  <c r="J22" i="2"/>
  <c r="I22" i="2"/>
  <c r="H22" i="2"/>
  <c r="G22" i="2"/>
  <c r="F22" i="2"/>
  <c r="J21" i="2"/>
  <c r="I21" i="2"/>
  <c r="H21" i="2"/>
  <c r="G21" i="2"/>
  <c r="F21" i="2"/>
  <c r="J20" i="2"/>
  <c r="I20" i="2"/>
  <c r="H20" i="2"/>
  <c r="G20" i="2"/>
  <c r="F20" i="2"/>
  <c r="J19" i="2"/>
  <c r="I19" i="2"/>
  <c r="H19" i="2"/>
  <c r="G19" i="2"/>
  <c r="F19" i="2"/>
  <c r="J18" i="2"/>
  <c r="I18" i="2"/>
  <c r="H18" i="2"/>
  <c r="G18" i="2"/>
  <c r="F18" i="2"/>
  <c r="J17" i="2"/>
  <c r="I17" i="2"/>
  <c r="H17" i="2"/>
  <c r="G17" i="2"/>
  <c r="F17" i="2"/>
  <c r="J16" i="2"/>
  <c r="I16" i="2"/>
  <c r="H16" i="2"/>
  <c r="G16" i="2"/>
  <c r="F16" i="2"/>
  <c r="J15" i="2"/>
  <c r="I15" i="2"/>
  <c r="H15" i="2"/>
  <c r="G15" i="2"/>
  <c r="F15" i="2"/>
  <c r="J14" i="2"/>
  <c r="I14" i="2"/>
  <c r="H14" i="2"/>
  <c r="G14" i="2"/>
  <c r="F14" i="2"/>
  <c r="J13" i="2"/>
  <c r="I13" i="2"/>
  <c r="H13" i="2"/>
  <c r="G13" i="2"/>
  <c r="F13" i="2"/>
  <c r="J12" i="2"/>
  <c r="I12" i="2"/>
  <c r="H12" i="2"/>
  <c r="G12" i="2"/>
  <c r="F12" i="2"/>
  <c r="J11" i="2"/>
  <c r="I11" i="2"/>
  <c r="H11" i="2"/>
  <c r="G11" i="2"/>
  <c r="F11" i="2"/>
  <c r="J10" i="2"/>
  <c r="I10" i="2"/>
  <c r="H10" i="2"/>
  <c r="G10" i="2"/>
  <c r="F10" i="2"/>
  <c r="J9" i="2"/>
  <c r="I9" i="2"/>
  <c r="H9" i="2"/>
  <c r="G9" i="2"/>
  <c r="F9" i="2"/>
  <c r="J8" i="2"/>
  <c r="I8" i="2"/>
  <c r="H8" i="2"/>
  <c r="G8" i="2"/>
  <c r="F8" i="2"/>
  <c r="J7" i="2"/>
  <c r="I7" i="2"/>
  <c r="H7" i="2"/>
  <c r="G7" i="2"/>
  <c r="F7" i="2"/>
  <c r="J6" i="2"/>
  <c r="I6" i="2"/>
  <c r="H6" i="2"/>
  <c r="G6" i="2"/>
  <c r="F6" i="2"/>
  <c r="J5" i="2"/>
  <c r="I5" i="2"/>
  <c r="H5" i="2"/>
  <c r="G5" i="2"/>
  <c r="F5" i="2"/>
  <c r="J4" i="2"/>
  <c r="I4" i="2"/>
  <c r="H4" i="2"/>
  <c r="G4" i="2"/>
  <c r="F4" i="2"/>
  <c r="J3" i="2"/>
  <c r="I3" i="2"/>
  <c r="H3" i="2"/>
  <c r="G3" i="2"/>
  <c r="F3" i="2"/>
  <c r="Q4" i="2" l="1"/>
  <c r="P405" i="2"/>
  <c r="Q223" i="2"/>
  <c r="Q249" i="2"/>
  <c r="Q260" i="2"/>
  <c r="Q19" i="2"/>
  <c r="Q203" i="2"/>
  <c r="Q35" i="2"/>
  <c r="P318" i="2"/>
  <c r="P171" i="2"/>
  <c r="Q384" i="2"/>
  <c r="P233" i="2"/>
  <c r="Q237" i="2"/>
  <c r="P43" i="2"/>
  <c r="Q430" i="2"/>
  <c r="P248" i="2"/>
  <c r="Q116" i="2"/>
  <c r="P242" i="2"/>
  <c r="Q234" i="2"/>
  <c r="P50" i="2"/>
  <c r="Q200" i="2"/>
  <c r="Q129" i="2"/>
  <c r="Q110" i="2"/>
  <c r="Q38" i="2"/>
  <c r="Q123" i="2"/>
  <c r="P14" i="2"/>
  <c r="Q456" i="2"/>
  <c r="P328" i="2"/>
  <c r="Q438" i="2"/>
  <c r="P213" i="2"/>
  <c r="P482" i="2"/>
  <c r="Q278" i="2"/>
  <c r="Q254" i="2"/>
  <c r="P348" i="2"/>
  <c r="P67" i="2"/>
  <c r="Q207" i="2"/>
  <c r="P28" i="2"/>
  <c r="Q279" i="2"/>
  <c r="P176" i="2"/>
  <c r="Q376" i="2"/>
  <c r="P204" i="2"/>
  <c r="Q67" i="2"/>
  <c r="Q96" i="2"/>
  <c r="P467" i="2"/>
  <c r="Q357" i="2"/>
  <c r="Q144" i="2"/>
  <c r="Q104" i="2"/>
  <c r="P474" i="2"/>
  <c r="P377" i="2"/>
  <c r="Q413" i="2"/>
  <c r="P387" i="2"/>
  <c r="P277" i="2"/>
  <c r="P234" i="2"/>
  <c r="P235" i="2"/>
  <c r="Q280" i="2"/>
  <c r="Q351" i="2"/>
  <c r="P173" i="2"/>
  <c r="P162" i="2"/>
  <c r="Q17" i="2"/>
  <c r="P260" i="2"/>
  <c r="Q349" i="2"/>
  <c r="P305" i="2"/>
  <c r="P98" i="2"/>
  <c r="P108" i="2"/>
  <c r="P164" i="2"/>
  <c r="P410" i="2"/>
  <c r="Q99" i="2"/>
  <c r="Q70" i="2"/>
  <c r="P381" i="2"/>
  <c r="P380" i="2"/>
  <c r="Q340" i="2"/>
  <c r="P144" i="2"/>
  <c r="P480" i="2"/>
  <c r="P459" i="2"/>
  <c r="Q245" i="2"/>
  <c r="Q189" i="2"/>
  <c r="P285" i="2"/>
  <c r="Q327" i="2"/>
  <c r="P49" i="2"/>
  <c r="P92" i="2"/>
  <c r="P351" i="2"/>
  <c r="Q468" i="2"/>
  <c r="P147" i="2"/>
  <c r="P207" i="2"/>
  <c r="P282" i="2"/>
  <c r="Q405" i="2"/>
  <c r="Q281" i="2"/>
  <c r="P79" i="2"/>
  <c r="Q355" i="2"/>
  <c r="P17" i="2"/>
  <c r="P364" i="2"/>
  <c r="P157" i="2"/>
  <c r="Q22" i="2"/>
  <c r="Q332" i="2"/>
  <c r="P91" i="2"/>
  <c r="Q13" i="2"/>
  <c r="P448" i="2"/>
  <c r="Q209" i="2"/>
  <c r="Q11" i="2"/>
  <c r="Q412" i="2"/>
  <c r="P314" i="2"/>
  <c r="P126" i="2"/>
  <c r="Q76" i="2"/>
  <c r="Q29" i="2"/>
  <c r="Q88" i="2"/>
  <c r="Q125" i="2"/>
  <c r="Q192" i="2"/>
  <c r="Q78" i="2"/>
  <c r="Q296" i="2"/>
  <c r="P255" i="2"/>
  <c r="P152" i="2"/>
  <c r="Q61" i="2"/>
  <c r="P390" i="2"/>
  <c r="P75" i="2"/>
  <c r="P156" i="2"/>
  <c r="Q202" i="2"/>
  <c r="P89" i="2"/>
  <c r="Q377" i="2"/>
  <c r="Q424" i="2"/>
  <c r="Q231" i="2"/>
  <c r="Q360" i="2"/>
  <c r="P18" i="2"/>
  <c r="P153" i="2"/>
  <c r="Q91" i="2"/>
  <c r="Q106" i="2"/>
  <c r="P312" i="2"/>
  <c r="P393" i="2"/>
  <c r="Q418" i="2"/>
  <c r="Q212" i="2"/>
  <c r="P261" i="2"/>
  <c r="P154" i="2"/>
  <c r="Q133" i="2"/>
  <c r="Q145" i="2"/>
  <c r="P444" i="2"/>
  <c r="Q160" i="2"/>
  <c r="Q380" i="2"/>
  <c r="P249" i="2"/>
  <c r="P219" i="2"/>
  <c r="P22" i="2"/>
  <c r="Q31" i="2"/>
  <c r="Q256" i="2"/>
  <c r="Q190" i="2"/>
  <c r="Q21" i="2"/>
  <c r="P306" i="2"/>
  <c r="P451" i="2"/>
  <c r="Q420" i="2"/>
  <c r="Q51" i="2"/>
  <c r="P70" i="2"/>
  <c r="P163" i="2"/>
  <c r="P97" i="2"/>
  <c r="P148" i="2"/>
  <c r="P245" i="2"/>
  <c r="Q331" i="2"/>
  <c r="P122" i="2"/>
  <c r="P191" i="2"/>
  <c r="P202" i="2"/>
  <c r="Q148" i="2"/>
  <c r="P462" i="2"/>
  <c r="P360" i="2"/>
  <c r="Q308" i="2"/>
  <c r="Q43" i="2"/>
  <c r="Q66" i="2"/>
  <c r="P158" i="2"/>
  <c r="P355" i="2"/>
  <c r="Q462" i="2"/>
  <c r="Q324" i="2"/>
  <c r="P329" i="2"/>
  <c r="Q465" i="2"/>
  <c r="Q398" i="2"/>
  <c r="Q266" i="2"/>
  <c r="P244" i="2"/>
  <c r="P332" i="2"/>
  <c r="Q393" i="2"/>
  <c r="Q180" i="2"/>
  <c r="P442" i="2"/>
  <c r="P25" i="2"/>
  <c r="Q284" i="2"/>
  <c r="P132" i="2"/>
  <c r="P230" i="2"/>
  <c r="P46" i="2"/>
  <c r="P472" i="2"/>
  <c r="P208" i="2"/>
  <c r="Q450" i="2"/>
  <c r="Q50" i="2"/>
  <c r="Q375" i="2"/>
  <c r="P60" i="2"/>
  <c r="P196" i="2"/>
  <c r="Q342" i="2"/>
  <c r="Q467" i="2"/>
  <c r="P401" i="2"/>
  <c r="P415" i="2"/>
  <c r="P127" i="2"/>
  <c r="P413" i="2"/>
  <c r="Q8" i="2"/>
  <c r="P272" i="2"/>
  <c r="Q216" i="2"/>
  <c r="P326" i="2"/>
  <c r="P71" i="2"/>
  <c r="P317" i="2"/>
  <c r="Q434" i="2"/>
  <c r="Q443" i="2"/>
  <c r="P365" i="2"/>
  <c r="P137" i="2"/>
  <c r="P5" i="2"/>
  <c r="Q400" i="2"/>
  <c r="P440" i="2"/>
  <c r="Q208" i="2"/>
  <c r="Q183" i="2"/>
  <c r="Q445" i="2"/>
  <c r="Q230" i="2"/>
  <c r="Q439" i="2"/>
  <c r="Q105" i="2"/>
  <c r="Q408" i="2"/>
  <c r="Q177" i="2"/>
  <c r="Q258" i="2"/>
  <c r="P113" i="2"/>
  <c r="Q269" i="2"/>
  <c r="Q329" i="2"/>
  <c r="Q73" i="2"/>
  <c r="P443" i="2"/>
  <c r="Q201" i="2"/>
  <c r="Q383" i="2"/>
  <c r="P454" i="2"/>
  <c r="Q469" i="2"/>
  <c r="P412" i="2"/>
  <c r="Q26" i="2"/>
  <c r="P142" i="2"/>
  <c r="Q167" i="2"/>
  <c r="Q261" i="2"/>
  <c r="Q111" i="2"/>
  <c r="P81" i="2"/>
  <c r="Q196" i="2"/>
  <c r="P400" i="2"/>
  <c r="Q186" i="2"/>
  <c r="P100" i="2"/>
  <c r="Q98" i="2"/>
  <c r="Q165" i="2"/>
  <c r="P121" i="2"/>
  <c r="Q352" i="2"/>
  <c r="Q455" i="2"/>
  <c r="P48" i="2"/>
  <c r="Q486" i="2"/>
  <c r="Q185" i="2"/>
  <c r="Q476" i="2"/>
  <c r="Q251" i="2"/>
  <c r="P175" i="2"/>
  <c r="P102" i="2"/>
  <c r="P378" i="2"/>
  <c r="P99" i="2"/>
  <c r="Q153" i="2"/>
  <c r="Q381" i="2"/>
  <c r="Q218" i="2"/>
  <c r="P320" i="2"/>
  <c r="Q80" i="2"/>
  <c r="Q487" i="2"/>
  <c r="Q14" i="2"/>
  <c r="P195" i="2"/>
  <c r="P361" i="2"/>
  <c r="Q7" i="2"/>
  <c r="Q402" i="2"/>
  <c r="Q175" i="2"/>
  <c r="P337" i="2"/>
  <c r="Q146" i="2"/>
  <c r="Q415" i="2"/>
  <c r="Q348" i="2"/>
  <c r="P23" i="2"/>
  <c r="P389" i="2"/>
  <c r="P214" i="2"/>
  <c r="Q336" i="2"/>
  <c r="Q199" i="2"/>
  <c r="P20" i="2"/>
  <c r="Q211" i="2"/>
  <c r="Q473" i="2"/>
  <c r="Q242" i="2"/>
  <c r="P150" i="2"/>
  <c r="Q131" i="2"/>
  <c r="Q228" i="2"/>
  <c r="P402" i="2"/>
  <c r="P76" i="2"/>
  <c r="P485" i="2"/>
  <c r="P288" i="2"/>
  <c r="Q62" i="2"/>
  <c r="P174" i="2"/>
  <c r="Q115" i="2"/>
  <c r="Q339" i="2"/>
  <c r="Q101" i="2"/>
  <c r="Q323" i="2"/>
  <c r="Q184" i="2"/>
  <c r="P238" i="2"/>
  <c r="Q472" i="2"/>
  <c r="P32" i="2"/>
  <c r="P217" i="2"/>
  <c r="P283" i="2"/>
  <c r="Q330" i="2"/>
  <c r="Q6" i="2"/>
  <c r="Q174" i="2"/>
  <c r="Q85" i="2"/>
  <c r="P437" i="2"/>
  <c r="Q134" i="2"/>
  <c r="Q126" i="2"/>
  <c r="Q353" i="2"/>
  <c r="P103" i="2"/>
  <c r="P247" i="2"/>
  <c r="Q401" i="2"/>
  <c r="Q431" i="2"/>
  <c r="P114" i="2"/>
  <c r="P64" i="2"/>
  <c r="P310" i="2"/>
  <c r="P58" i="2"/>
  <c r="P226" i="2"/>
  <c r="Q325" i="2"/>
  <c r="P481" i="2"/>
  <c r="P42" i="2"/>
  <c r="P398" i="2"/>
  <c r="P82" i="2"/>
  <c r="Q298" i="2"/>
  <c r="Q170" i="2"/>
  <c r="Q297" i="2"/>
  <c r="Q470" i="2"/>
  <c r="Q197" i="2"/>
  <c r="Q392" i="2"/>
  <c r="P51" i="2"/>
  <c r="P37" i="2"/>
  <c r="P8" i="2"/>
  <c r="Q363" i="2"/>
  <c r="P88" i="2"/>
  <c r="P15" i="2"/>
  <c r="Q151" i="2"/>
  <c r="Q179" i="2"/>
  <c r="Q103" i="2"/>
  <c r="Q274" i="2"/>
  <c r="Q423" i="2"/>
  <c r="Q52" i="2"/>
  <c r="Q60" i="2"/>
  <c r="P264" i="2"/>
  <c r="Q227" i="2"/>
  <c r="P473" i="2"/>
  <c r="Q217" i="2"/>
  <c r="Q121" i="2"/>
  <c r="Q287" i="2"/>
  <c r="Q65" i="2"/>
  <c r="Q232" i="2"/>
  <c r="P209" i="2"/>
  <c r="Q252" i="2"/>
  <c r="Q440" i="2"/>
  <c r="Q479" i="2"/>
  <c r="P357" i="2"/>
  <c r="P339" i="2"/>
  <c r="P457" i="2"/>
  <c r="Q417" i="2"/>
  <c r="Q94" i="2"/>
  <c r="P340" i="2"/>
  <c r="Q240" i="2"/>
  <c r="Q171" i="2"/>
  <c r="P179" i="2"/>
  <c r="P345" i="2"/>
  <c r="Q461" i="2"/>
  <c r="P130" i="2"/>
  <c r="Q86" i="2"/>
  <c r="P280" i="2"/>
  <c r="P420" i="2"/>
  <c r="Q97" i="2"/>
  <c r="Q433" i="2"/>
  <c r="P86" i="2"/>
  <c r="P200" i="2"/>
  <c r="P342" i="2"/>
  <c r="Q64" i="2"/>
  <c r="P417" i="2"/>
  <c r="P407" i="2"/>
  <c r="P257" i="2"/>
  <c r="P352" i="2"/>
  <c r="P411" i="2"/>
  <c r="P55" i="2"/>
  <c r="Q414" i="2"/>
  <c r="P431" i="2"/>
  <c r="P385" i="2"/>
  <c r="P180" i="2"/>
  <c r="Q407" i="2"/>
  <c r="P44" i="2"/>
  <c r="P73" i="2"/>
  <c r="P419" i="2"/>
  <c r="Q320" i="2"/>
  <c r="Q268" i="2"/>
  <c r="Q84" i="2"/>
  <c r="P26" i="2"/>
  <c r="P408" i="2"/>
  <c r="P371" i="2"/>
  <c r="Q169" i="2"/>
  <c r="Q56" i="2"/>
  <c r="P110" i="2"/>
  <c r="P422" i="2"/>
  <c r="P324" i="2"/>
  <c r="P456" i="2"/>
  <c r="Q314" i="2"/>
  <c r="P404" i="2"/>
  <c r="P40" i="2"/>
  <c r="P308" i="2"/>
  <c r="Q166" i="2"/>
  <c r="P168" i="2"/>
  <c r="P231" i="2"/>
  <c r="P222" i="2"/>
  <c r="P124" i="2"/>
  <c r="P476" i="2"/>
  <c r="P368" i="2"/>
  <c r="P215" i="2"/>
  <c r="P211" i="2"/>
  <c r="P434" i="2"/>
  <c r="P370" i="2"/>
  <c r="Q262" i="2"/>
  <c r="P487" i="2"/>
  <c r="P458" i="2"/>
  <c r="Q435" i="2"/>
  <c r="Q139" i="2"/>
  <c r="P311" i="2"/>
  <c r="Q428" i="2"/>
  <c r="Q264" i="2"/>
  <c r="P428" i="2"/>
  <c r="Q45" i="2"/>
  <c r="P169" i="2"/>
  <c r="P375" i="2"/>
  <c r="P19" i="2"/>
  <c r="Q248" i="2"/>
  <c r="Q57" i="2"/>
  <c r="P296" i="2"/>
  <c r="P134" i="2"/>
  <c r="Q387" i="2"/>
  <c r="Q300" i="2"/>
  <c r="P263" i="2"/>
  <c r="Q44" i="2"/>
  <c r="Q277" i="2"/>
  <c r="Q275" i="2"/>
  <c r="Q138" i="2"/>
  <c r="P416" i="2"/>
  <c r="P425" i="2"/>
  <c r="Q291" i="2"/>
  <c r="Q406" i="2"/>
  <c r="P418" i="2"/>
  <c r="P479" i="2"/>
  <c r="Q379" i="2"/>
  <c r="Q9" i="2"/>
  <c r="P218" i="2"/>
  <c r="Q403" i="2"/>
  <c r="Q345" i="2"/>
  <c r="P30" i="2"/>
  <c r="P441" i="2"/>
  <c r="Q359" i="2"/>
  <c r="P193" i="2"/>
  <c r="P183" i="2"/>
  <c r="Q176" i="2"/>
  <c r="Q27" i="2"/>
  <c r="P395" i="2"/>
  <c r="Q118" i="2"/>
  <c r="P188" i="2"/>
  <c r="P105" i="2"/>
  <c r="P224" i="2"/>
  <c r="P36" i="2"/>
  <c r="P72" i="2"/>
  <c r="Q267" i="2"/>
  <c r="Q310" i="2"/>
  <c r="Q367" i="2"/>
  <c r="P299" i="2"/>
  <c r="P123" i="2"/>
  <c r="P279" i="2"/>
  <c r="Q187" i="2"/>
  <c r="P270" i="2"/>
  <c r="Q136" i="2"/>
  <c r="P455" i="2"/>
  <c r="P185" i="2"/>
  <c r="Q466" i="2"/>
  <c r="Q119" i="2"/>
  <c r="Q247" i="2"/>
  <c r="Q93" i="2"/>
  <c r="P106" i="2"/>
  <c r="Q471" i="2"/>
  <c r="P391" i="2"/>
  <c r="P252" i="2"/>
  <c r="P161" i="2"/>
  <c r="Q286" i="2"/>
  <c r="Q150" i="2"/>
  <c r="P199" i="2"/>
  <c r="P353" i="2"/>
  <c r="P109" i="2"/>
  <c r="P341" i="2"/>
  <c r="P68" i="2"/>
  <c r="Q159" i="2"/>
  <c r="Q425" i="2"/>
  <c r="P346" i="2"/>
  <c r="P488" i="2"/>
  <c r="Q164" i="2"/>
  <c r="Q259" i="2"/>
  <c r="Q233" i="2"/>
  <c r="P423" i="2"/>
  <c r="Q356" i="2"/>
  <c r="Q362" i="2"/>
  <c r="P382" i="2"/>
  <c r="Q87" i="2"/>
  <c r="P221" i="2"/>
  <c r="Q140" i="2"/>
  <c r="Q397" i="2"/>
  <c r="P471" i="2"/>
  <c r="P436" i="2"/>
  <c r="Q117" i="2"/>
  <c r="Q303" i="2"/>
  <c r="P349" i="2"/>
  <c r="Q39" i="2"/>
  <c r="P160" i="2"/>
  <c r="Q289" i="2"/>
  <c r="Q426" i="2"/>
  <c r="P372" i="2"/>
  <c r="Q40" i="2"/>
  <c r="Q311" i="2"/>
  <c r="P256" i="2"/>
  <c r="P6" i="2"/>
  <c r="Q173" i="2"/>
  <c r="Q464" i="2"/>
  <c r="Q147" i="2"/>
  <c r="Q482" i="2"/>
  <c r="P397" i="2"/>
  <c r="Q396" i="2"/>
  <c r="P33" i="2"/>
  <c r="P392" i="2"/>
  <c r="P13" i="2"/>
  <c r="P262" i="2"/>
  <c r="P45" i="2"/>
  <c r="Q229" i="2"/>
  <c r="Q36" i="2"/>
  <c r="P307" i="2"/>
  <c r="Q463" i="2"/>
  <c r="Q388" i="2"/>
  <c r="P138" i="2"/>
  <c r="P83" i="2"/>
  <c r="Q25" i="2"/>
  <c r="P181" i="2"/>
  <c r="P38" i="2"/>
  <c r="Q395" i="2"/>
  <c r="P269" i="2"/>
  <c r="P133" i="2"/>
  <c r="P303" i="2"/>
  <c r="P383" i="2"/>
  <c r="P267" i="2"/>
  <c r="Q347" i="2"/>
  <c r="Q307" i="2"/>
  <c r="P289" i="2"/>
  <c r="P321" i="2"/>
  <c r="Q312" i="2"/>
  <c r="Q294" i="2"/>
  <c r="P54" i="2"/>
  <c r="P315" i="2"/>
  <c r="Q304" i="2"/>
  <c r="P343" i="2"/>
  <c r="Q306" i="2"/>
  <c r="Q421" i="2"/>
  <c r="Q477" i="2"/>
  <c r="Q454" i="2"/>
  <c r="P189" i="2"/>
  <c r="Q181" i="2"/>
  <c r="Q409" i="2"/>
  <c r="Q276" i="2"/>
  <c r="P468" i="2"/>
  <c r="Q120" i="2"/>
  <c r="P347" i="2"/>
  <c r="P112" i="2"/>
  <c r="P438" i="2"/>
  <c r="Q283" i="2"/>
  <c r="P304" i="2"/>
  <c r="P384" i="2"/>
  <c r="Q46" i="2"/>
  <c r="P253" i="2"/>
  <c r="Q370" i="2"/>
  <c r="Q47" i="2"/>
  <c r="P439" i="2"/>
  <c r="P77" i="2"/>
  <c r="P139" i="2"/>
  <c r="P59" i="2"/>
  <c r="P356" i="2"/>
  <c r="Q270" i="2"/>
  <c r="Q41" i="2"/>
  <c r="P367" i="2"/>
  <c r="Q58" i="2"/>
  <c r="Q92" i="2"/>
  <c r="Q198" i="2"/>
  <c r="Q365" i="2"/>
  <c r="Q149" i="2"/>
  <c r="P309" i="2"/>
  <c r="P388" i="2"/>
  <c r="P447" i="2"/>
  <c r="P335" i="2"/>
  <c r="P84" i="2"/>
  <c r="P131" i="2"/>
  <c r="P74" i="2"/>
  <c r="P227" i="2"/>
  <c r="P29" i="2"/>
  <c r="P452" i="2"/>
  <c r="Q142" i="2"/>
  <c r="Q155" i="2"/>
  <c r="P475" i="2"/>
  <c r="P203" i="2"/>
  <c r="Q222" i="2"/>
  <c r="P27" i="2"/>
  <c r="P41" i="2"/>
  <c r="Q68" i="2"/>
  <c r="Q108" i="2"/>
  <c r="Q343" i="2"/>
  <c r="Q135" i="2"/>
  <c r="Q271" i="2"/>
  <c r="P278" i="2"/>
  <c r="Q319" i="2"/>
  <c r="Q373" i="2"/>
  <c r="Q399" i="2"/>
  <c r="Q366" i="2"/>
  <c r="P125" i="2"/>
  <c r="P297" i="2"/>
  <c r="Q391" i="2"/>
  <c r="Q273" i="2"/>
  <c r="Q361" i="2"/>
  <c r="P275" i="2"/>
  <c r="Q235" i="2"/>
  <c r="Q385" i="2"/>
  <c r="P432" i="2"/>
  <c r="Q333" i="2"/>
  <c r="Q453" i="2"/>
  <c r="P155" i="2"/>
  <c r="Q292" i="2"/>
  <c r="P322" i="2"/>
  <c r="Q448" i="2"/>
  <c r="P198" i="2"/>
  <c r="Q195" i="2"/>
  <c r="P104" i="2"/>
  <c r="P369" i="2"/>
  <c r="P366" i="2"/>
  <c r="P281" i="2"/>
  <c r="P313" i="2"/>
  <c r="Q442" i="2"/>
  <c r="Q188" i="2"/>
  <c r="P484" i="2"/>
  <c r="Q178" i="2"/>
  <c r="P251" i="2"/>
  <c r="P11" i="2"/>
  <c r="P239" i="2"/>
  <c r="Q317" i="2"/>
  <c r="P129" i="2"/>
  <c r="P47" i="2"/>
  <c r="P429" i="2"/>
  <c r="P273" i="2"/>
  <c r="P56" i="2"/>
  <c r="P243" i="2"/>
  <c r="Q124" i="2"/>
  <c r="P350" i="2"/>
  <c r="P16" i="2"/>
  <c r="P85" i="2"/>
  <c r="Q72" i="2"/>
  <c r="P246" i="2"/>
  <c r="P287" i="2"/>
  <c r="P450" i="2"/>
  <c r="P333" i="2"/>
  <c r="Q478" i="2"/>
  <c r="Q162" i="2"/>
  <c r="Q480" i="2"/>
  <c r="P250" i="2"/>
  <c r="P478" i="2"/>
  <c r="P90" i="2"/>
  <c r="Q301" i="2"/>
  <c r="P265" i="2"/>
  <c r="Q459" i="2"/>
  <c r="Q372" i="2"/>
  <c r="Q206" i="2"/>
  <c r="P461" i="2"/>
  <c r="P362" i="2"/>
  <c r="P62" i="2"/>
  <c r="Q163" i="2"/>
  <c r="Q326" i="2"/>
  <c r="Q243" i="2"/>
  <c r="P414" i="2"/>
  <c r="Q263" i="2"/>
  <c r="Q315" i="2"/>
  <c r="Q288" i="2"/>
  <c r="P266" i="2"/>
  <c r="Q255" i="2"/>
  <c r="P232" i="2"/>
  <c r="P453" i="2"/>
  <c r="P170" i="2"/>
  <c r="P190" i="2"/>
  <c r="Q3" i="2"/>
  <c r="P259" i="2"/>
  <c r="Q83" i="2"/>
  <c r="P3" i="2"/>
  <c r="Q79" i="2"/>
  <c r="P399" i="2"/>
  <c r="Q193" i="2"/>
  <c r="P406" i="2"/>
  <c r="P229" i="2"/>
  <c r="P145" i="2"/>
  <c r="P298" i="2"/>
  <c r="P21" i="2"/>
  <c r="P96" i="2"/>
  <c r="Q42" i="2"/>
  <c r="Q16" i="2"/>
  <c r="Q154" i="2"/>
  <c r="P184" i="2"/>
  <c r="Q354" i="2"/>
  <c r="P159" i="2"/>
  <c r="Q213" i="2"/>
  <c r="Q328" i="2"/>
  <c r="P358" i="2"/>
  <c r="Q18" i="2"/>
  <c r="Q28" i="2"/>
  <c r="P241" i="2"/>
  <c r="P433" i="2"/>
  <c r="Q224" i="2"/>
  <c r="Q156" i="2"/>
  <c r="P95" i="2"/>
  <c r="Q404" i="2"/>
  <c r="P140" i="2"/>
  <c r="P116" i="2"/>
  <c r="P120" i="2"/>
  <c r="P464" i="2"/>
  <c r="P460" i="2"/>
  <c r="Q37" i="2"/>
  <c r="P363" i="2"/>
  <c r="Q302" i="2"/>
  <c r="P118" i="2"/>
  <c r="P486" i="2"/>
  <c r="P94" i="2"/>
  <c r="P78" i="2"/>
  <c r="P192" i="2"/>
  <c r="Q34" i="2"/>
  <c r="P35" i="2"/>
  <c r="P143" i="2"/>
  <c r="Q112" i="2"/>
  <c r="P290" i="2"/>
  <c r="P477" i="2"/>
  <c r="Q272" i="2"/>
  <c r="Q346" i="2"/>
  <c r="Q130" i="2"/>
  <c r="Q350" i="2"/>
  <c r="P409" i="2"/>
  <c r="Q441" i="2"/>
  <c r="P286" i="2"/>
  <c r="P293" i="2"/>
  <c r="P336" i="2"/>
  <c r="Q410" i="2"/>
  <c r="Q132" i="2"/>
  <c r="Q411" i="2"/>
  <c r="P386" i="2"/>
  <c r="P424" i="2"/>
  <c r="P374" i="2"/>
  <c r="Q191" i="2"/>
  <c r="Q194" i="2"/>
  <c r="Q253" i="2"/>
  <c r="P258" i="2"/>
  <c r="Q157" i="2"/>
  <c r="P379" i="2"/>
  <c r="P426" i="2"/>
  <c r="Q95" i="2"/>
  <c r="P463" i="2"/>
  <c r="Q386" i="2"/>
  <c r="P165" i="2"/>
  <c r="Q460" i="2"/>
  <c r="Q239" i="2"/>
  <c r="P327" i="2"/>
  <c r="P9" i="2"/>
  <c r="P205" i="2"/>
  <c r="Q122" i="2"/>
  <c r="Q219" i="2"/>
  <c r="Q161" i="2"/>
  <c r="Q226" i="2"/>
  <c r="Q371" i="2"/>
  <c r="Q484" i="2"/>
  <c r="Q429" i="2"/>
  <c r="P376" i="2"/>
  <c r="Q81" i="2"/>
  <c r="Q394" i="2"/>
  <c r="P34" i="2"/>
  <c r="Q427" i="2"/>
  <c r="Q204" i="2"/>
  <c r="P128" i="2"/>
  <c r="P449" i="2"/>
  <c r="Q432" i="2"/>
  <c r="P66" i="2"/>
  <c r="P141" i="2"/>
  <c r="P331" i="2"/>
  <c r="Q236" i="2"/>
  <c r="Q368" i="2"/>
  <c r="Q446" i="2"/>
  <c r="Q24" i="2"/>
  <c r="Q33" i="2"/>
  <c r="Q374" i="2"/>
  <c r="Q5" i="2"/>
  <c r="P470" i="2"/>
  <c r="P396" i="2"/>
  <c r="Q82" i="2"/>
  <c r="P240" i="2"/>
  <c r="Q389" i="2"/>
  <c r="P316" i="2"/>
  <c r="P197" i="2"/>
  <c r="Q55" i="2"/>
  <c r="P119" i="2"/>
  <c r="P223" i="2"/>
  <c r="Q30" i="2"/>
  <c r="Q451" i="2"/>
  <c r="Q358" i="2"/>
  <c r="Q341" i="2"/>
  <c r="Q282" i="2"/>
  <c r="P300" i="2"/>
  <c r="P194" i="2"/>
  <c r="Q210" i="2"/>
  <c r="Q488" i="2"/>
  <c r="Q152" i="2"/>
  <c r="P52" i="2"/>
  <c r="Q172" i="2"/>
  <c r="Q378" i="2"/>
  <c r="P115" i="2"/>
  <c r="Q390" i="2"/>
  <c r="Q10" i="2"/>
  <c r="P61" i="2"/>
  <c r="Q225" i="2"/>
  <c r="Q205" i="2"/>
  <c r="P237" i="2"/>
  <c r="P210" i="2"/>
  <c r="P93" i="2"/>
  <c r="Q215" i="2"/>
  <c r="P330" i="2"/>
  <c r="P445" i="2"/>
  <c r="Q220" i="2"/>
  <c r="P469" i="2"/>
  <c r="Q71" i="2"/>
  <c r="P201" i="2"/>
  <c r="P101" i="2"/>
  <c r="Q141" i="2"/>
  <c r="Q109" i="2"/>
  <c r="Q244" i="2"/>
  <c r="Q12" i="2"/>
  <c r="P435" i="2"/>
  <c r="P354" i="2"/>
  <c r="P427" i="2"/>
  <c r="P254" i="2"/>
  <c r="P80" i="2"/>
  <c r="P117" i="2"/>
  <c r="P465" i="2"/>
  <c r="P323" i="2"/>
  <c r="P334" i="2"/>
  <c r="P57" i="2"/>
  <c r="P271" i="2"/>
  <c r="Q416" i="2"/>
  <c r="Q20" i="2"/>
  <c r="Q316" i="2"/>
  <c r="Q32" i="2"/>
  <c r="P236" i="2"/>
  <c r="Q364" i="2"/>
  <c r="P274" i="2"/>
  <c r="P483" i="2"/>
  <c r="P4" i="2"/>
  <c r="P394" i="2"/>
  <c r="P186" i="2"/>
  <c r="Q449" i="2"/>
  <c r="Q63" i="2"/>
  <c r="P291" i="2"/>
  <c r="P10" i="2"/>
  <c r="Q214" i="2"/>
  <c r="Q344" i="2"/>
  <c r="P338" i="2"/>
  <c r="Q335" i="2"/>
  <c r="Q74" i="2"/>
  <c r="Q59" i="2"/>
  <c r="P284" i="2"/>
  <c r="Q137" i="2"/>
  <c r="P107" i="2"/>
  <c r="Q318" i="2"/>
  <c r="P39" i="2"/>
  <c r="Q265" i="2"/>
  <c r="Q15" i="2"/>
  <c r="P359" i="2"/>
  <c r="P31" i="2"/>
  <c r="P206" i="2"/>
  <c r="Q241" i="2"/>
  <c r="P212" i="2"/>
  <c r="P136" i="2"/>
  <c r="Q309" i="2"/>
  <c r="Q382" i="2"/>
  <c r="Q295" i="2"/>
  <c r="P302" i="2"/>
  <c r="Q54" i="2"/>
  <c r="Q337" i="2"/>
  <c r="P12" i="2"/>
  <c r="P87" i="2"/>
  <c r="Q419" i="2"/>
  <c r="Q48" i="2"/>
  <c r="P135" i="2"/>
  <c r="P446" i="2"/>
  <c r="Q305" i="2"/>
  <c r="P24" i="2"/>
  <c r="P294" i="2"/>
  <c r="P319" i="2"/>
  <c r="P268" i="2"/>
  <c r="Q338" i="2"/>
  <c r="Q246" i="2"/>
  <c r="Q23" i="2"/>
  <c r="Q114" i="2"/>
  <c r="Q90" i="2"/>
  <c r="P7" i="2"/>
  <c r="Q100" i="2"/>
  <c r="Q457" i="2"/>
  <c r="Q422" i="2"/>
  <c r="P403" i="2"/>
  <c r="Q334" i="2"/>
  <c r="Q481" i="2"/>
  <c r="P182" i="2"/>
  <c r="Q102" i="2"/>
  <c r="Q437" i="2"/>
  <c r="P151" i="2"/>
  <c r="Q182" i="2"/>
  <c r="Q458" i="2"/>
  <c r="Q369" i="2"/>
  <c r="Q53" i="2"/>
  <c r="P225" i="2"/>
  <c r="Q69" i="2"/>
  <c r="P373" i="2"/>
  <c r="P276" i="2"/>
  <c r="Q113" i="2"/>
  <c r="Q483" i="2"/>
  <c r="P187" i="2"/>
  <c r="Q452" i="2"/>
  <c r="P69" i="2"/>
  <c r="Q49" i="2"/>
  <c r="Q221" i="2"/>
  <c r="Q475" i="2"/>
  <c r="Q127" i="2"/>
  <c r="P292" i="2"/>
  <c r="P53" i="2"/>
  <c r="Q293" i="2"/>
  <c r="Q89" i="2"/>
  <c r="Q474" i="2"/>
  <c r="P167" i="2"/>
  <c r="P228" i="2"/>
  <c r="Q158" i="2"/>
  <c r="Q299" i="2"/>
  <c r="Q290" i="2"/>
  <c r="P178" i="2"/>
  <c r="Q444" i="2"/>
  <c r="P301" i="2"/>
  <c r="Q107" i="2"/>
  <c r="P220" i="2"/>
  <c r="P295" i="2"/>
  <c r="P166" i="2"/>
  <c r="P430" i="2"/>
  <c r="P63" i="2"/>
  <c r="Q250" i="2"/>
  <c r="Q128" i="2"/>
  <c r="P65" i="2"/>
  <c r="P177" i="2"/>
  <c r="P325" i="2"/>
  <c r="P216" i="2"/>
  <c r="Q485" i="2"/>
  <c r="Q313" i="2"/>
  <c r="Q77" i="2"/>
  <c r="P111" i="2"/>
  <c r="Q168" i="2"/>
  <c r="Q285" i="2"/>
  <c r="P149" i="2"/>
  <c r="P172" i="2"/>
  <c r="Q143" i="2"/>
  <c r="P146" i="2"/>
  <c r="Q436" i="2"/>
  <c r="Q238" i="2"/>
  <c r="P421" i="2"/>
  <c r="P466" i="2"/>
  <c r="Q75" i="2"/>
  <c r="Q321" i="2"/>
  <c r="Q257" i="2"/>
  <c r="Q322" i="2"/>
  <c r="P344" i="2"/>
  <c r="Q447" i="2"/>
</calcChain>
</file>

<file path=xl/sharedStrings.xml><?xml version="1.0" encoding="utf-8"?>
<sst xmlns="http://schemas.openxmlformats.org/spreadsheetml/2006/main" count="1178" uniqueCount="390">
  <si>
    <t>000352066</t>
  </si>
  <si>
    <t>000390750</t>
  </si>
  <si>
    <t>000485041</t>
  </si>
  <si>
    <t>000319679</t>
  </si>
  <si>
    <t>000412602</t>
  </si>
  <si>
    <t>000093993</t>
  </si>
  <si>
    <t>000071028</t>
  </si>
  <si>
    <t>000021005</t>
  </si>
  <si>
    <t>000088234</t>
  </si>
  <si>
    <t>000472714</t>
  </si>
  <si>
    <t>000320107</t>
  </si>
  <si>
    <t>000326755</t>
  </si>
  <si>
    <t>000367884</t>
  </si>
  <si>
    <t>000548779</t>
  </si>
  <si>
    <t>000287149</t>
  </si>
  <si>
    <t>000176486</t>
  </si>
  <si>
    <t>000414221</t>
  </si>
  <si>
    <t>000288521</t>
  </si>
  <si>
    <t>000476310</t>
  </si>
  <si>
    <t>000418024</t>
  </si>
  <si>
    <t>000272483</t>
  </si>
  <si>
    <t>000237627</t>
  </si>
  <si>
    <t>000393264</t>
  </si>
  <si>
    <t>000376055</t>
  </si>
  <si>
    <t>000158124</t>
  </si>
  <si>
    <t>000004176</t>
  </si>
  <si>
    <t>000571671</t>
  </si>
  <si>
    <t>000449401</t>
  </si>
  <si>
    <t>000480165</t>
  </si>
  <si>
    <t>000370915</t>
  </si>
  <si>
    <t>000396352</t>
  </si>
  <si>
    <t>000019570</t>
  </si>
  <si>
    <t>000515570</t>
  </si>
  <si>
    <t>000019343</t>
  </si>
  <si>
    <t>000526416</t>
  </si>
  <si>
    <t>000127449</t>
  </si>
  <si>
    <t>000046039</t>
  </si>
  <si>
    <t>000458824</t>
  </si>
  <si>
    <t>000390963</t>
  </si>
  <si>
    <t>000093359</t>
  </si>
  <si>
    <t>000591078</t>
  </si>
  <si>
    <t>000419658</t>
  </si>
  <si>
    <t>000549870</t>
  </si>
  <si>
    <t>000316766</t>
  </si>
  <si>
    <t>000447982</t>
  </si>
  <si>
    <t>000206675</t>
  </si>
  <si>
    <t>000022006</t>
  </si>
  <si>
    <t>000145772</t>
  </si>
  <si>
    <t>000212584</t>
  </si>
  <si>
    <t>000073783</t>
  </si>
  <si>
    <t>000338413</t>
  </si>
  <si>
    <t>000445595</t>
  </si>
  <si>
    <t>000189150</t>
  </si>
  <si>
    <t>000360243</t>
  </si>
  <si>
    <t>000419321</t>
  </si>
  <si>
    <t>000383082</t>
  </si>
  <si>
    <t>000200884</t>
  </si>
  <si>
    <t>000050417</t>
  </si>
  <si>
    <t>000445441</t>
  </si>
  <si>
    <t>000430576</t>
  </si>
  <si>
    <t>000269348</t>
  </si>
  <si>
    <t>000416190</t>
  </si>
  <si>
    <t>000377425</t>
  </si>
  <si>
    <t>000035093</t>
  </si>
  <si>
    <t>000174788</t>
  </si>
  <si>
    <t>000288545</t>
  </si>
  <si>
    <t>000275892</t>
  </si>
  <si>
    <t>000494111</t>
  </si>
  <si>
    <t>000230485</t>
  </si>
  <si>
    <t>000235253</t>
  </si>
  <si>
    <t>000419309</t>
  </si>
  <si>
    <t>000503297</t>
  </si>
  <si>
    <t>000131200</t>
  </si>
  <si>
    <t>000490308</t>
  </si>
  <si>
    <t>000393006</t>
  </si>
  <si>
    <t>000235301</t>
  </si>
  <si>
    <t>000540573</t>
  </si>
  <si>
    <t>000419826</t>
  </si>
  <si>
    <t>000387554</t>
  </si>
  <si>
    <t>000217307</t>
  </si>
  <si>
    <t>000212108</t>
  </si>
  <si>
    <t>000093736</t>
  </si>
  <si>
    <t>000580908</t>
  </si>
  <si>
    <t>000383825</t>
  </si>
  <si>
    <t>000299195</t>
  </si>
  <si>
    <t>000463929</t>
  </si>
  <si>
    <t>000464763</t>
  </si>
  <si>
    <t>000438229</t>
  </si>
  <si>
    <t>000434189</t>
  </si>
  <si>
    <t>000223974</t>
  </si>
  <si>
    <t>000130370</t>
  </si>
  <si>
    <t>000435401</t>
  </si>
  <si>
    <t>000413396</t>
  </si>
  <si>
    <t>000403493</t>
  </si>
  <si>
    <t>000367271</t>
  </si>
  <si>
    <t>000232702</t>
  </si>
  <si>
    <t>000357557</t>
  </si>
  <si>
    <t>000552095</t>
  </si>
  <si>
    <t>000542316</t>
  </si>
  <si>
    <t>000425776</t>
  </si>
  <si>
    <t>000242627</t>
  </si>
  <si>
    <t>000094521</t>
  </si>
  <si>
    <t>000313543</t>
  </si>
  <si>
    <t>000103813</t>
  </si>
  <si>
    <t>000454492</t>
  </si>
  <si>
    <t>000112882</t>
  </si>
  <si>
    <t>000389238</t>
  </si>
  <si>
    <t>000032349</t>
  </si>
  <si>
    <t>000409512</t>
  </si>
  <si>
    <t>000488933</t>
  </si>
  <si>
    <t>000082233</t>
  </si>
  <si>
    <t>000430625</t>
  </si>
  <si>
    <t>000392667</t>
  </si>
  <si>
    <t>000151527</t>
  </si>
  <si>
    <t>000405394</t>
  </si>
  <si>
    <t>000580075</t>
  </si>
  <si>
    <t>000551293</t>
  </si>
  <si>
    <t>000507484</t>
  </si>
  <si>
    <t>000174027</t>
  </si>
  <si>
    <t>000100532</t>
  </si>
  <si>
    <t>000103714</t>
  </si>
  <si>
    <t>000003030</t>
  </si>
  <si>
    <t>000455865</t>
  </si>
  <si>
    <t>000218716</t>
  </si>
  <si>
    <t>000413809</t>
  </si>
  <si>
    <t>000425342</t>
  </si>
  <si>
    <t>000487921</t>
  </si>
  <si>
    <t>000113221</t>
  </si>
  <si>
    <t>000186706</t>
  </si>
  <si>
    <t>000380650</t>
  </si>
  <si>
    <t>000491985</t>
  </si>
  <si>
    <t>000102608</t>
  </si>
  <si>
    <t>000256709</t>
  </si>
  <si>
    <t>000098135</t>
  </si>
  <si>
    <t>000307736</t>
  </si>
  <si>
    <t>000054926</t>
  </si>
  <si>
    <t>000375352</t>
  </si>
  <si>
    <t>000397444</t>
  </si>
  <si>
    <t>000096228</t>
  </si>
  <si>
    <t>000428226</t>
  </si>
  <si>
    <t>000400476</t>
  </si>
  <si>
    <t>000551273</t>
  </si>
  <si>
    <t>000402432</t>
  </si>
  <si>
    <t>000270523</t>
  </si>
  <si>
    <t>000117936</t>
  </si>
  <si>
    <t>000422898</t>
  </si>
  <si>
    <t>000433861</t>
  </si>
  <si>
    <t>000202276</t>
  </si>
  <si>
    <t>000035098</t>
  </si>
  <si>
    <t>000065423</t>
  </si>
  <si>
    <t>000297005</t>
  </si>
  <si>
    <t>000240718</t>
  </si>
  <si>
    <t>000565626</t>
  </si>
  <si>
    <t>000052693</t>
  </si>
  <si>
    <t>000420512</t>
  </si>
  <si>
    <t>000254129</t>
  </si>
  <si>
    <t>000110395</t>
  </si>
  <si>
    <t>000484290</t>
  </si>
  <si>
    <t>000462545</t>
  </si>
  <si>
    <t>000426973</t>
  </si>
  <si>
    <t>000586915</t>
  </si>
  <si>
    <t>000319858</t>
  </si>
  <si>
    <t>000348252</t>
  </si>
  <si>
    <t>000453354</t>
  </si>
  <si>
    <t>000166934</t>
  </si>
  <si>
    <t>000038327</t>
  </si>
  <si>
    <t>000136967</t>
  </si>
  <si>
    <t>000399212</t>
  </si>
  <si>
    <t>000431413</t>
  </si>
  <si>
    <t>000490540</t>
  </si>
  <si>
    <t>000386208</t>
  </si>
  <si>
    <t>000204939</t>
  </si>
  <si>
    <t>000295035</t>
  </si>
  <si>
    <t>000452053</t>
  </si>
  <si>
    <t>000198143</t>
  </si>
  <si>
    <t>000237336</t>
  </si>
  <si>
    <t>000426740</t>
  </si>
  <si>
    <t>000204394</t>
  </si>
  <si>
    <t>000192934</t>
  </si>
  <si>
    <t>000100321</t>
  </si>
  <si>
    <t>000395937</t>
  </si>
  <si>
    <t>000307131</t>
  </si>
  <si>
    <t>000236595</t>
  </si>
  <si>
    <t>000333499</t>
  </si>
  <si>
    <t>000213947</t>
  </si>
  <si>
    <t>000362859</t>
  </si>
  <si>
    <t>000148949</t>
  </si>
  <si>
    <t>000015704</t>
  </si>
  <si>
    <t>000505423</t>
  </si>
  <si>
    <t>000308919</t>
  </si>
  <si>
    <t>000488311</t>
  </si>
  <si>
    <t>000428090</t>
  </si>
  <si>
    <t>000187387</t>
  </si>
  <si>
    <t>000279999</t>
  </si>
  <si>
    <t>000101511</t>
  </si>
  <si>
    <t>000005900</t>
  </si>
  <si>
    <t>000500853</t>
  </si>
  <si>
    <t>000110324</t>
  </si>
  <si>
    <t>000493253</t>
  </si>
  <si>
    <t>000477515</t>
  </si>
  <si>
    <t>000290480</t>
  </si>
  <si>
    <t>000440704</t>
  </si>
  <si>
    <t>000393222</t>
  </si>
  <si>
    <t>000453661</t>
  </si>
  <si>
    <t>000149852</t>
  </si>
  <si>
    <t>000462234</t>
  </si>
  <si>
    <t>000393384</t>
  </si>
  <si>
    <t>000279858</t>
  </si>
  <si>
    <t>000452352</t>
  </si>
  <si>
    <t>000232963</t>
  </si>
  <si>
    <t>000406829</t>
  </si>
  <si>
    <t>000278904</t>
  </si>
  <si>
    <t>000235356</t>
  </si>
  <si>
    <t>000532463</t>
  </si>
  <si>
    <t>000156757</t>
  </si>
  <si>
    <t>000469847</t>
  </si>
  <si>
    <t>000424080</t>
  </si>
  <si>
    <t>000378037</t>
  </si>
  <si>
    <t>000457496</t>
  </si>
  <si>
    <t>000222970</t>
  </si>
  <si>
    <t>000335267</t>
  </si>
  <si>
    <t>000524325</t>
  </si>
  <si>
    <t>000470041</t>
  </si>
  <si>
    <t>000312150</t>
  </si>
  <si>
    <t>000573545</t>
  </si>
  <si>
    <t>000478654</t>
  </si>
  <si>
    <t>000325888</t>
  </si>
  <si>
    <t>000110598</t>
  </si>
  <si>
    <t>000152358</t>
  </si>
  <si>
    <t>000585728</t>
  </si>
  <si>
    <t>000173115</t>
  </si>
  <si>
    <t>000419497</t>
  </si>
  <si>
    <t>000471811</t>
  </si>
  <si>
    <t>000405744</t>
  </si>
  <si>
    <t>000417229</t>
  </si>
  <si>
    <t>000521872</t>
  </si>
  <si>
    <t>000418317</t>
  </si>
  <si>
    <t>000388059</t>
  </si>
  <si>
    <t>000453034</t>
  </si>
  <si>
    <t>000472460</t>
  </si>
  <si>
    <t>000202749</t>
  </si>
  <si>
    <t>000359281</t>
  </si>
  <si>
    <t>000210757</t>
  </si>
  <si>
    <t>000202108</t>
  </si>
  <si>
    <t>000227186</t>
  </si>
  <si>
    <t>000446369</t>
  </si>
  <si>
    <t>000332648</t>
  </si>
  <si>
    <t>000448426</t>
  </si>
  <si>
    <t>000267103</t>
  </si>
  <si>
    <t>000462312</t>
  </si>
  <si>
    <t>000264415</t>
  </si>
  <si>
    <t>000311461</t>
  </si>
  <si>
    <t>000401076</t>
  </si>
  <si>
    <t>000252391</t>
  </si>
  <si>
    <t>000527216</t>
  </si>
  <si>
    <t>000321152</t>
  </si>
  <si>
    <t>000085576</t>
  </si>
  <si>
    <t>000314792</t>
  </si>
  <si>
    <t>000301778</t>
  </si>
  <si>
    <t>000546871</t>
  </si>
  <si>
    <t>000303196</t>
  </si>
  <si>
    <t>000438222</t>
  </si>
  <si>
    <t>000045105</t>
  </si>
  <si>
    <t>000109306</t>
  </si>
  <si>
    <t>000590675</t>
  </si>
  <si>
    <t>000361036</t>
  </si>
  <si>
    <t>000452238</t>
  </si>
  <si>
    <t>000547933</t>
  </si>
  <si>
    <t>000345323</t>
  </si>
  <si>
    <t>000567965</t>
  </si>
  <si>
    <t>000473442</t>
  </si>
  <si>
    <t>000256330</t>
  </si>
  <si>
    <t>000466390</t>
  </si>
  <si>
    <t>000520759</t>
  </si>
  <si>
    <t>000302930</t>
  </si>
  <si>
    <t>000280229</t>
  </si>
  <si>
    <t>000523390</t>
  </si>
  <si>
    <t>000559571</t>
  </si>
  <si>
    <t>000016043</t>
  </si>
  <si>
    <t>000192640</t>
  </si>
  <si>
    <t>000575519</t>
  </si>
  <si>
    <t>000455615</t>
  </si>
  <si>
    <t>000447317</t>
  </si>
  <si>
    <t>000352019</t>
  </si>
  <si>
    <t>000068062</t>
  </si>
  <si>
    <t>000221970</t>
  </si>
  <si>
    <t>000204763</t>
  </si>
  <si>
    <t>000318279</t>
  </si>
  <si>
    <t>000300906</t>
  </si>
  <si>
    <t>000377035</t>
  </si>
  <si>
    <t>000073354</t>
  </si>
  <si>
    <t>000386792</t>
  </si>
  <si>
    <t>000394605</t>
  </si>
  <si>
    <t>000270625</t>
  </si>
  <si>
    <t>000394072</t>
  </si>
  <si>
    <t>000181951</t>
  </si>
  <si>
    <t>000426483</t>
  </si>
  <si>
    <t>000354607</t>
  </si>
  <si>
    <t>000583166</t>
  </si>
  <si>
    <t>000214497</t>
  </si>
  <si>
    <t>000447980</t>
  </si>
  <si>
    <t>000295860</t>
  </si>
  <si>
    <t>000305437</t>
  </si>
  <si>
    <t>000011205</t>
  </si>
  <si>
    <t>000233517</t>
  </si>
  <si>
    <t>000383260</t>
  </si>
  <si>
    <t>000352189</t>
  </si>
  <si>
    <t>000408081</t>
  </si>
  <si>
    <t>000306640</t>
  </si>
  <si>
    <t>000289747</t>
  </si>
  <si>
    <t>000197932</t>
  </si>
  <si>
    <t>000438163</t>
  </si>
  <si>
    <t>000483928</t>
  </si>
  <si>
    <t>000233719</t>
  </si>
  <si>
    <t>000477902</t>
  </si>
  <si>
    <t>000224120</t>
  </si>
  <si>
    <t>000589514</t>
  </si>
  <si>
    <t>000457087</t>
  </si>
  <si>
    <t>000464571</t>
  </si>
  <si>
    <t>000429553</t>
  </si>
  <si>
    <t>000217880</t>
  </si>
  <si>
    <t>Tx_Type</t>
  </si>
  <si>
    <t>Date</t>
  </si>
  <si>
    <t>I-131 Low Dose</t>
  </si>
  <si>
    <t>Cs-137</t>
  </si>
  <si>
    <t>I-131 High Dose</t>
  </si>
  <si>
    <t>Ra-223 (Xofigo)</t>
  </si>
  <si>
    <t>000453188</t>
  </si>
  <si>
    <t>000466534</t>
  </si>
  <si>
    <t>000467620</t>
  </si>
  <si>
    <t>MD(s)</t>
  </si>
  <si>
    <t>Physicist(s)</t>
  </si>
  <si>
    <t>BB</t>
  </si>
  <si>
    <t>ZC</t>
  </si>
  <si>
    <t>BB, ZC</t>
  </si>
  <si>
    <t>DJ</t>
  </si>
  <si>
    <t>JS</t>
  </si>
  <si>
    <t>Pt</t>
  </si>
  <si>
    <t>000604866</t>
  </si>
  <si>
    <t>DZ, ZC</t>
  </si>
  <si>
    <t>000538905</t>
  </si>
  <si>
    <t>000602985</t>
  </si>
  <si>
    <t>DZ</t>
  </si>
  <si>
    <t>ValidatePt</t>
  </si>
  <si>
    <t>All Physicists</t>
  </si>
  <si>
    <t>All MDs</t>
  </si>
  <si>
    <t>KT</t>
  </si>
  <si>
    <t>AS</t>
  </si>
  <si>
    <t>ValidatePhys</t>
  </si>
  <si>
    <t>ValidateMD</t>
  </si>
  <si>
    <t>SL</t>
  </si>
  <si>
    <t>Grand Total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</si>
  <si>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</si>
  <si>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</si>
  <si>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</si>
  <si>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</si>
  <si>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</si>
  <si>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</si>
  <si>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</si>
  <si>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</si>
  <si>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</si>
  <si>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</si>
  <si>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</si>
  <si>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</si>
  <si>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</si>
  <si>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</si>
  <si>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</si>
  <si>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</si>
  <si>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</si>
  <si>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</si>
  <si>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2004</t>
  </si>
  <si>
    <t># BB Involved</t>
  </si>
  <si>
    <t># DZ Involved</t>
  </si>
  <si>
    <t># ZC Involved</t>
  </si>
  <si>
    <t># DJ Involved</t>
  </si>
  <si>
    <t># JS Involved</t>
  </si>
  <si>
    <t>Year</t>
  </si>
  <si>
    <t>(All)</t>
  </si>
  <si>
    <t>BB Involved</t>
  </si>
  <si>
    <t>DZ Involved</t>
  </si>
  <si>
    <t>ZC Involved</t>
  </si>
  <si>
    <t>DJ Involved</t>
  </si>
  <si>
    <t>JS Involved</t>
  </si>
  <si>
    <t>Personnel Involved</t>
  </si>
  <si>
    <t>Brachy Txs</t>
  </si>
  <si>
    <t># Txs Per Year</t>
  </si>
  <si>
    <t># Txs over Time</t>
  </si>
  <si>
    <t>000567878</t>
  </si>
  <si>
    <t>000552022</t>
  </si>
  <si>
    <t>[redacted], [redacted]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</si>
</sst>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 style="thick">
        <color indexed="64"/>
      </right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pivotButton="1"/>
    <xf numFmtId="0" fontId="0" fillId="0" borderId="1" xfId="0" applyBorder="1"/>
    <xf numFmtId="0" fontId="0" fillId="0" borderId="1" xfId="0" applyNumberFormat="1" applyBorder="1"/>
    <xf numFmtId="0" fontId="1" fillId="0" borderId="0" xfId="0" applyFont="1" applyAlignment="1">
      <alignment horizontal="center"/>
    </xf>
  </cellXfs>
  <cellStyles count="1">
    <cellStyle name="Normal" xfId="0" builtinId="0"/>
  </cellStyles>
  <dxfs count="1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[Brachy Txs - REDACTED.xlsm]Brachy Txs!NumTxsOverTime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#</a:t>
            </a:r>
            <a:r>
              <a:rPr lang="en-US" baseline="0"/>
              <a:t> Txs over Time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3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"/>
        <c:spPr>
          <a:solidFill>
            <a:schemeClr val="accent6"/>
          </a:solidFill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3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2"/>
        <c:spPr>
          <a:solidFill>
            <a:schemeClr val="accent6"/>
          </a:solidFill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3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3"/>
        <c:spPr>
          <a:solidFill>
            <a:schemeClr val="accent6"/>
          </a:solidFill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3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4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5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6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7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'Brachy Txs'!$AC$8:$AC$9</c:f>
              <c:strCache>
                <c:ptCount val="1"/>
                <c:pt idx="0">
                  <c:v>Cs-137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'Brachy Txs'!$AB$10:$AB$29</c:f>
              <c:strCache>
                <c:ptCount val="19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</c:strCache>
            </c:strRef>
          </c:cat>
          <c:val>
            <c:numRef>
              <c:f>'Brachy Txs'!$AC$10:$AC$29</c:f>
              <c:numCache>
                <c:formatCode>General</c:formatCode>
                <c:ptCount val="19"/>
                <c:pt idx="1">
                  <c:v>4</c:v>
                </c:pt>
                <c:pt idx="2">
                  <c:v>12</c:v>
                </c:pt>
                <c:pt idx="3">
                  <c:v>2</c:v>
                </c:pt>
                <c:pt idx="4">
                  <c:v>21</c:v>
                </c:pt>
                <c:pt idx="5">
                  <c:v>6</c:v>
                </c:pt>
                <c:pt idx="6">
                  <c:v>3</c:v>
                </c:pt>
                <c:pt idx="7">
                  <c:v>7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11</c:v>
                </c:pt>
                <c:pt idx="12">
                  <c:v>8</c:v>
                </c:pt>
                <c:pt idx="13">
                  <c:v>1</c:v>
                </c:pt>
                <c:pt idx="14">
                  <c:v>5</c:v>
                </c:pt>
                <c:pt idx="15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C7-49B0-BE9D-B13FC52368A4}"/>
            </c:ext>
          </c:extLst>
        </c:ser>
        <c:ser>
          <c:idx val="1"/>
          <c:order val="1"/>
          <c:tx>
            <c:strRef>
              <c:f>'Brachy Txs'!$AD$8:$AD$9</c:f>
              <c:strCache>
                <c:ptCount val="1"/>
                <c:pt idx="0">
                  <c:v>I-131 High Dose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'Brachy Txs'!$AB$10:$AB$29</c:f>
              <c:strCache>
                <c:ptCount val="19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</c:strCache>
            </c:strRef>
          </c:cat>
          <c:val>
            <c:numRef>
              <c:f>'Brachy Txs'!$AD$10:$AD$29</c:f>
              <c:numCache>
                <c:formatCode>General</c:formatCode>
                <c:ptCount val="19"/>
                <c:pt idx="1">
                  <c:v>4</c:v>
                </c:pt>
                <c:pt idx="2">
                  <c:v>12</c:v>
                </c:pt>
                <c:pt idx="3">
                  <c:v>8</c:v>
                </c:pt>
                <c:pt idx="4">
                  <c:v>9</c:v>
                </c:pt>
                <c:pt idx="5">
                  <c:v>9</c:v>
                </c:pt>
                <c:pt idx="6">
                  <c:v>8</c:v>
                </c:pt>
                <c:pt idx="7">
                  <c:v>12</c:v>
                </c:pt>
                <c:pt idx="8">
                  <c:v>8</c:v>
                </c:pt>
                <c:pt idx="9">
                  <c:v>7</c:v>
                </c:pt>
                <c:pt idx="10">
                  <c:v>5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3</c:v>
                </c:pt>
                <c:pt idx="16">
                  <c:v>5</c:v>
                </c:pt>
                <c:pt idx="17">
                  <c:v>3</c:v>
                </c:pt>
                <c:pt idx="1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C7-49B0-BE9D-B13FC52368A4}"/>
            </c:ext>
          </c:extLst>
        </c:ser>
        <c:ser>
          <c:idx val="2"/>
          <c:order val="2"/>
          <c:tx>
            <c:strRef>
              <c:f>'Brachy Txs'!$AE$8:$AE$9</c:f>
              <c:strCache>
                <c:ptCount val="1"/>
                <c:pt idx="0">
                  <c:v>I-131 Low Dose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'Brachy Txs'!$AB$10:$AB$29</c:f>
              <c:strCache>
                <c:ptCount val="19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</c:strCache>
            </c:strRef>
          </c:cat>
          <c:val>
            <c:numRef>
              <c:f>'Brachy Txs'!$AE$10:$AE$29</c:f>
              <c:numCache>
                <c:formatCode>General</c:formatCode>
                <c:ptCount val="19"/>
                <c:pt idx="0">
                  <c:v>2</c:v>
                </c:pt>
                <c:pt idx="1">
                  <c:v>7</c:v>
                </c:pt>
                <c:pt idx="2">
                  <c:v>13</c:v>
                </c:pt>
                <c:pt idx="3">
                  <c:v>16</c:v>
                </c:pt>
                <c:pt idx="4">
                  <c:v>8</c:v>
                </c:pt>
                <c:pt idx="5">
                  <c:v>8</c:v>
                </c:pt>
                <c:pt idx="6">
                  <c:v>10</c:v>
                </c:pt>
                <c:pt idx="7">
                  <c:v>23</c:v>
                </c:pt>
                <c:pt idx="8">
                  <c:v>16</c:v>
                </c:pt>
                <c:pt idx="9">
                  <c:v>11</c:v>
                </c:pt>
                <c:pt idx="10">
                  <c:v>11</c:v>
                </c:pt>
                <c:pt idx="11">
                  <c:v>7</c:v>
                </c:pt>
                <c:pt idx="12">
                  <c:v>6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9</c:v>
                </c:pt>
                <c:pt idx="17">
                  <c:v>7</c:v>
                </c:pt>
                <c:pt idx="1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C7-49B0-BE9D-B13FC52368A4}"/>
            </c:ext>
          </c:extLst>
        </c:ser>
        <c:ser>
          <c:idx val="3"/>
          <c:order val="3"/>
          <c:tx>
            <c:strRef>
              <c:f>'Brachy Txs'!$AF$8:$AF$9</c:f>
              <c:strCache>
                <c:ptCount val="1"/>
                <c:pt idx="0">
                  <c:v>Ra-223 (Xofigo)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'Brachy Txs'!$AB$10:$AB$29</c:f>
              <c:strCache>
                <c:ptCount val="19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</c:strCache>
            </c:strRef>
          </c:cat>
          <c:val>
            <c:numRef>
              <c:f>'Brachy Txs'!$AF$10:$AF$29</c:f>
              <c:numCache>
                <c:formatCode>General</c:formatCode>
                <c:ptCount val="19"/>
                <c:pt idx="9">
                  <c:v>7</c:v>
                </c:pt>
                <c:pt idx="10">
                  <c:v>6</c:v>
                </c:pt>
                <c:pt idx="11">
                  <c:v>2</c:v>
                </c:pt>
                <c:pt idx="12">
                  <c:v>17</c:v>
                </c:pt>
                <c:pt idx="13">
                  <c:v>33</c:v>
                </c:pt>
                <c:pt idx="14">
                  <c:v>11</c:v>
                </c:pt>
                <c:pt idx="15">
                  <c:v>6</c:v>
                </c:pt>
                <c:pt idx="16">
                  <c:v>6</c:v>
                </c:pt>
                <c:pt idx="17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7C7-49B0-BE9D-B13FC5236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179032"/>
        <c:axId val="562181656"/>
      </c:lineChart>
      <c:catAx>
        <c:axId val="5621790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181656"/>
        <c:crosses val="autoZero"/>
        <c:auto val="1"/>
        <c:lblAlgn val="ctr"/>
        <c:lblOffset val="100"/>
        <c:noMultiLvlLbl val="0"/>
      </c:catAx>
      <c:valAx>
        <c:axId val="56218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Tx's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179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38099</xdr:rowOff>
    </xdr:from>
    <xdr:to>
      <xdr:col>8</xdr:col>
      <xdr:colOff>9525</xdr:colOff>
      <xdr:row>26</xdr:row>
      <xdr:rowOff>9524</xdr:rowOff>
    </xdr:to>
    <xdr:sp macro="" textlink="">
      <xdr:nvSpPr>
        <xdr:cNvPr id="2" name="TextBox 1"/>
        <xdr:cNvSpPr txBox="1"/>
      </xdr:nvSpPr>
      <xdr:spPr>
        <a:xfrm>
          <a:off x="28575" y="38099"/>
          <a:ext cx="4857750" cy="4924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</a:t>
          </a:r>
          <a:r>
            <a:rPr lang="en-US" sz="1100" b="1" baseline="0"/>
            <a:t> to Use:</a:t>
          </a:r>
        </a:p>
        <a:p>
          <a:r>
            <a:rPr lang="en-US" sz="1100" b="0" baseline="0"/>
            <a:t>After each brachy treatment, add a row to the </a:t>
          </a:r>
          <a:r>
            <a:rPr lang="en-US" sz="1000" b="0" baseline="0">
              <a:latin typeface="Consolas" panose="020B0609020204030204" pitchFamily="49" charset="0"/>
            </a:rPr>
            <a:t>Brachy Txs </a:t>
          </a:r>
          <a:r>
            <a:rPr lang="en-US" sz="1100" b="0" baseline="0"/>
            <a:t>table.</a:t>
          </a:r>
        </a:p>
        <a:p>
          <a:r>
            <a:rPr lang="en-US" sz="1100" b="0" baseline="0"/>
            <a:t>The </a:t>
          </a:r>
          <a:r>
            <a:rPr lang="en-US" sz="1000" b="0" baseline="0">
              <a:latin typeface="Consolas" panose="020B0609020204030204" pitchFamily="49" charset="0"/>
            </a:rPr>
            <a:t>Personnel Involved </a:t>
          </a:r>
          <a:r>
            <a:rPr lang="en-US" sz="1100" b="0" baseline="0"/>
            <a:t>and </a:t>
          </a:r>
          <a:r>
            <a:rPr lang="en-US" sz="1000" b="0" baseline="0">
              <a:latin typeface="Consolas" panose="020B0609020204030204" pitchFamily="49" charset="0"/>
            </a:rPr>
            <a:t># Txs over Time </a:t>
          </a:r>
          <a:r>
            <a:rPr lang="en-US" sz="1100" b="0" baseline="0"/>
            <a:t>PivotTables and PivotChart update with the </a:t>
          </a:r>
          <a:r>
            <a:rPr lang="en-US" sz="1000" b="0" baseline="0">
              <a:latin typeface="Consolas" panose="020B0609020204030204" pitchFamily="49" charset="0"/>
            </a:rPr>
            <a:t>Brachy Txs </a:t>
          </a:r>
          <a:r>
            <a:rPr lang="en-US" sz="1100" b="0" baseline="0"/>
            <a:t>table.</a:t>
          </a:r>
        </a:p>
        <a:p>
          <a:endParaRPr lang="en-US" sz="1100" b="0" baseline="0"/>
        </a:p>
        <a:p>
          <a:r>
            <a:rPr lang="en-US" sz="1100" b="1" baseline="0"/>
            <a:t>Dependencies: </a:t>
          </a:r>
          <a:r>
            <a:rPr lang="en-US" sz="1100" b="0" baseline="0"/>
            <a:t>My </a:t>
          </a:r>
          <a:r>
            <a:rPr lang="en-US" sz="1000" b="0" baseline="0">
              <a:latin typeface="Consolas" panose="020B0609020204030204" pitchFamily="49" charset="0"/>
            </a:rPr>
            <a:t>CustomValidation</a:t>
          </a:r>
          <a:r>
            <a:rPr lang="en-US" sz="1100" b="0" baseline="0"/>
            <a:t> add-in</a:t>
          </a:r>
        </a:p>
        <a:p>
          <a:endParaRPr lang="en-US" sz="1100" b="0" baseline="0"/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Technical/Implementation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Details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endParaRPr lang="en-US" b="1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There are four tables on the single worksheet: </a:t>
          </a:r>
          <a:r>
            <a:rPr lang="en-US" sz="10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BrachyTxs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sz="10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AllPhysicists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sz="10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AllMDs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and </a:t>
          </a:r>
          <a:r>
            <a:rPr lang="en-US" sz="10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Validations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en-US" sz="10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BrachyTxs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is the only unhidden table. The other tables are hidden because they are not for the end user: they are only used for validating data entries. 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en-US" sz="10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BrachyTxs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table contains a hidden column for each physicist and MD. These values are </a:t>
          </a:r>
          <a:r>
            <a:rPr lang="en-US" sz="10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1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if the physicist/MD is in the list in the </a:t>
          </a:r>
          <a:r>
            <a:rPr lang="en-US" sz="10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Physicist(s)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en-US" sz="10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MD(s)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column, </a:t>
          </a:r>
          <a:r>
            <a:rPr lang="en-US" sz="10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0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otherwise. These columns are used in the </a:t>
          </a:r>
          <a:r>
            <a:rPr lang="en-US" sz="10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Personnel Involved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PivotTable.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0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AllPhysicists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and </a:t>
          </a:r>
          <a:r>
            <a:rPr lang="en-US" sz="10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AllMDs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are lists of valid physicist and MD initials, respectively. 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first row of Validation contains named ranges that call VBA functions that return whether a certain value in </a:t>
          </a:r>
          <a:r>
            <a:rPr lang="en-US" sz="10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BrachyTxs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is valid. The data validation in </a:t>
          </a:r>
          <a:r>
            <a:rPr lang="en-US" sz="10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BrachyTxs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uses this named range in its Data Validation. This workaround is necessary because Excel disallows VBA functions in Data Validation formulas. The first column of </a:t>
          </a:r>
          <a:r>
            <a:rPr lang="en-US" sz="10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ValidatePt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uses a function in the </a:t>
          </a:r>
          <a:r>
            <a:rPr lang="en-US" sz="10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CustomValidation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add-in to verify that the </a:t>
          </a:r>
          <a:r>
            <a:rPr lang="en-US" sz="10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Pt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entry is either an MRN or a name in a certain format. The other two columns ensure that each physicist or MD in the comma-separated lists are present in the </a:t>
          </a:r>
          <a:r>
            <a:rPr lang="en-US" sz="10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AllPhysicists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or </a:t>
          </a:r>
          <a:r>
            <a:rPr lang="en-US" sz="10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AllMDs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table, respectively.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400049</xdr:colOff>
      <xdr:row>29</xdr:row>
      <xdr:rowOff>180974</xdr:rowOff>
    </xdr:from>
    <xdr:to>
      <xdr:col>33</xdr:col>
      <xdr:colOff>0</xdr:colOff>
      <xdr:row>49</xdr:row>
      <xdr:rowOff>190499</xdr:rowOff>
    </xdr:to>
    <xdr:graphicFrame macro="">
      <xdr:nvGraphicFramePr>
        <xdr:cNvPr id="6" name="NumTxsOverTim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aley E. White" refreshedDate="44685.364892939811" createdVersion="6" refreshedVersion="6" minRefreshableVersion="3" recordCount="489">
  <cacheSource type="worksheet">
    <worksheetSource name="BrachyTxs"/>
  </cacheSource>
  <cacheFields count="12">
    <cacheField name="Tx_Type" numFmtId="0">
      <sharedItems count="4">
        <s v="I-131 Low Dose"/>
        <s v="Cs-137"/>
        <s v="I-131 High Dose"/>
        <s v="Ra-223 (Xofigo)"/>
      </sharedItems>
    </cacheField>
    <cacheField name="Date" numFmtId="14">
      <sharedItems containsSemiMixedTypes="0" containsNonDate="0" containsDate="1" containsString="0" minDate="2004-06-22T00:00:00" maxDate="2022-05-04T00:00:00" count="450">
        <d v="2004-06-22T00:00:00"/>
        <d v="2004-12-23T00:00:00"/>
        <d v="2005-07-27T00:00:00"/>
        <d v="2005-08-11T00:00:00"/>
        <d v="2005-09-21T00:00:00"/>
        <d v="2005-09-27T00:00:00"/>
        <d v="2005-09-28T00:00:00"/>
        <d v="2005-10-06T00:00:00"/>
        <d v="2005-10-20T00:00:00"/>
        <d v="2005-11-17T00:00:00"/>
        <d v="2005-11-22T00:00:00"/>
        <d v="2005-12-05T00:00:00"/>
        <d v="2005-12-09T00:00:00"/>
        <d v="2005-12-13T00:00:00"/>
        <d v="2005-12-15T00:00:00"/>
        <d v="2006-01-06T00:00:00"/>
        <d v="2006-02-14T00:00:00"/>
        <d v="2006-02-28T00:00:00"/>
        <d v="2006-03-14T00:00:00"/>
        <d v="2006-03-24T00:00:00"/>
        <d v="2006-04-07T00:00:00"/>
        <d v="2006-05-23T00:00:00"/>
        <d v="2006-05-26T00:00:00"/>
        <d v="2006-05-31T00:00:00"/>
        <d v="2006-06-05T00:00:00"/>
        <d v="2006-06-06T00:00:00"/>
        <d v="2006-06-16T00:00:00"/>
        <d v="2006-06-21T00:00:00"/>
        <d v="2006-06-22T00:00:00"/>
        <d v="2006-07-13T00:00:00"/>
        <d v="2006-07-21T00:00:00"/>
        <d v="2006-07-24T00:00:00"/>
        <d v="2006-07-25T00:00:00"/>
        <d v="2006-07-27T00:00:00"/>
        <d v="2006-08-03T00:00:00"/>
        <d v="2006-08-07T00:00:00"/>
        <d v="2006-08-15T00:00:00"/>
        <d v="2006-08-28T00:00:00"/>
        <d v="2006-08-29T00:00:00"/>
        <d v="2006-09-18T00:00:00"/>
        <d v="2006-09-19T00:00:00"/>
        <d v="2006-09-21T00:00:00"/>
        <d v="2006-09-25T00:00:00"/>
        <d v="2006-10-03T00:00:00"/>
        <d v="2006-10-25T00:00:00"/>
        <d v="2006-11-01T00:00:00"/>
        <d v="2006-11-14T00:00:00"/>
        <d v="2006-12-08T00:00:00"/>
        <d v="2006-12-11T00:00:00"/>
        <d v="2006-12-21T00:00:00"/>
        <d v="2007-01-05T00:00:00"/>
        <d v="2007-01-22T00:00:00"/>
        <d v="2007-01-26T00:00:00"/>
        <d v="2007-02-07T00:00:00"/>
        <d v="2007-02-15T00:00:00"/>
        <d v="2007-02-21T00:00:00"/>
        <d v="2007-03-26T00:00:00"/>
        <d v="2007-04-26T00:00:00"/>
        <d v="2007-05-10T00:00:00"/>
        <d v="2007-06-06T00:00:00"/>
        <d v="2007-06-26T00:00:00"/>
        <d v="2007-06-29T00:00:00"/>
        <d v="2007-07-16T00:00:00"/>
        <d v="2007-08-07T00:00:00"/>
        <d v="2007-08-09T00:00:00"/>
        <d v="2007-08-28T00:00:00"/>
        <d v="2007-09-04T00:00:00"/>
        <d v="2007-10-19T00:00:00"/>
        <d v="2007-10-22T00:00:00"/>
        <d v="2007-10-30T00:00:00"/>
        <d v="2007-11-09T00:00:00"/>
        <d v="2007-11-21T00:00:00"/>
        <d v="2007-12-13T00:00:00"/>
        <d v="2007-12-20T00:00:00"/>
        <d v="2008-01-03T00:00:00"/>
        <d v="2008-01-17T00:00:00"/>
        <d v="2008-01-25T00:00:00"/>
        <d v="2008-01-31T00:00:00"/>
        <d v="2008-02-04T00:00:00"/>
        <d v="2008-02-18T00:00:00"/>
        <d v="2008-03-05T00:00:00"/>
        <d v="2008-03-06T00:00:00"/>
        <d v="2008-03-17T00:00:00"/>
        <d v="2008-03-19T00:00:00"/>
        <d v="2008-04-15T00:00:00"/>
        <d v="2008-05-21T00:00:00"/>
        <d v="2008-06-23T00:00:00"/>
        <d v="2008-07-17T00:00:00"/>
        <d v="2008-07-22T00:00:00"/>
        <d v="2008-07-28T00:00:00"/>
        <d v="2008-07-30T00:00:00"/>
        <d v="2008-08-05T00:00:00"/>
        <d v="2008-08-11T00:00:00"/>
        <d v="2008-08-13T00:00:00"/>
        <d v="2008-08-18T00:00:00"/>
        <d v="2008-08-21T00:00:00"/>
        <d v="2008-08-28T00:00:00"/>
        <d v="2008-09-05T00:00:00"/>
        <d v="2008-09-09T00:00:00"/>
        <d v="2008-09-23T00:00:00"/>
        <d v="2008-09-25T00:00:00"/>
        <d v="2008-10-06T00:00:00"/>
        <d v="2008-10-13T00:00:00"/>
        <d v="2008-10-17T00:00:00"/>
        <d v="2008-10-20T00:00:00"/>
        <d v="2008-10-27T00:00:00"/>
        <d v="2008-11-03T00:00:00"/>
        <d v="2008-11-10T00:00:00"/>
        <d v="2008-12-02T00:00:00"/>
        <d v="2008-12-10T00:00:00"/>
        <d v="2008-12-16T00:00:00"/>
        <d v="2009-01-22T00:00:00"/>
        <d v="2009-02-03T00:00:00"/>
        <d v="2009-02-09T00:00:00"/>
        <d v="2009-02-20T00:00:00"/>
        <d v="2009-02-22T00:00:00"/>
        <d v="2009-02-24T00:00:00"/>
        <d v="2009-03-10T00:00:00"/>
        <d v="2009-04-23T00:00:00"/>
        <d v="2009-05-15T00:00:00"/>
        <d v="2009-06-04T00:00:00"/>
        <d v="2009-06-19T00:00:00"/>
        <d v="2009-07-07T00:00:00"/>
        <d v="2009-07-08T00:00:00"/>
        <d v="2009-07-21T00:00:00"/>
        <d v="2009-08-03T00:00:00"/>
        <d v="2009-08-14T00:00:00"/>
        <d v="2009-09-18T00:00:00"/>
        <d v="2009-10-13T00:00:00"/>
        <d v="2009-11-02T00:00:00"/>
        <d v="2009-11-09T00:00:00"/>
        <d v="2009-12-17T00:00:00"/>
        <d v="2010-01-15T00:00:00"/>
        <d v="2010-01-19T00:00:00"/>
        <d v="2010-01-26T00:00:00"/>
        <d v="2010-03-03T00:00:00"/>
        <d v="2010-03-31T00:00:00"/>
        <d v="2010-04-15T00:00:00"/>
        <d v="2010-05-11T00:00:00"/>
        <d v="2010-06-01T00:00:00"/>
        <d v="2010-07-21T00:00:00"/>
        <d v="2010-08-10T00:00:00"/>
        <d v="2010-08-17T00:00:00"/>
        <d v="2010-08-25T00:00:00"/>
        <d v="2010-08-31T00:00:00"/>
        <d v="2010-09-02T00:00:00"/>
        <d v="2010-10-01T00:00:00"/>
        <d v="2010-10-18T00:00:00"/>
        <d v="2010-10-26T00:00:00"/>
        <d v="2010-11-10T00:00:00"/>
        <d v="2010-11-15T00:00:00"/>
        <d v="2010-12-09T00:00:00"/>
        <d v="2010-12-20T00:00:00"/>
        <d v="2011-01-04T00:00:00"/>
        <d v="2011-01-05T00:00:00"/>
        <d v="2011-01-13T00:00:00"/>
        <d v="2011-01-18T00:00:00"/>
        <d v="2011-01-27T00:00:00"/>
        <d v="2011-02-09T00:00:00"/>
        <d v="2011-02-18T00:00:00"/>
        <d v="2011-02-22T00:00:00"/>
        <d v="2011-02-24T00:00:00"/>
        <d v="2011-02-28T00:00:00"/>
        <d v="2011-03-18T00:00:00"/>
        <d v="2011-03-23T00:00:00"/>
        <d v="2011-03-29T00:00:00"/>
        <d v="2011-04-05T00:00:00"/>
        <d v="2011-04-28T00:00:00"/>
        <d v="2011-05-11T00:00:00"/>
        <d v="2011-06-17T00:00:00"/>
        <d v="2011-06-20T00:00:00"/>
        <d v="2011-06-27T00:00:00"/>
        <d v="2011-06-28T00:00:00"/>
        <d v="2011-07-06T00:00:00"/>
        <d v="2011-07-07T00:00:00"/>
        <d v="2011-08-01T00:00:00"/>
        <d v="2011-08-18T00:00:00"/>
        <d v="2011-08-30T00:00:00"/>
        <d v="2011-09-13T00:00:00"/>
        <d v="2011-09-15T00:00:00"/>
        <d v="2011-10-12T00:00:00"/>
        <d v="2011-10-24T00:00:00"/>
        <d v="2011-10-28T00:00:00"/>
        <d v="2011-11-04T00:00:00"/>
        <d v="2011-11-07T00:00:00"/>
        <d v="2011-11-15T00:00:00"/>
        <d v="2011-11-29T00:00:00"/>
        <d v="2011-12-15T00:00:00"/>
        <d v="2011-12-16T00:00:00"/>
        <d v="2012-01-04T00:00:00"/>
        <d v="2012-01-05T00:00:00"/>
        <d v="2012-01-06T00:00:00"/>
        <d v="2012-01-24T00:00:00"/>
        <d v="2012-01-26T00:00:00"/>
        <d v="2012-01-30T00:00:00"/>
        <d v="2012-02-17T00:00:00"/>
        <d v="2012-03-01T00:00:00"/>
        <d v="2012-03-02T00:00:00"/>
        <d v="2012-03-08T00:00:00"/>
        <d v="2012-03-13T00:00:00"/>
        <d v="2012-04-10T00:00:00"/>
        <d v="2012-04-16T00:00:00"/>
        <d v="2012-04-19T00:00:00"/>
        <d v="2012-05-02T00:00:00"/>
        <d v="2012-05-05T00:00:00"/>
        <d v="2012-05-15T00:00:00"/>
        <d v="2012-05-21T00:00:00"/>
        <d v="2012-05-22T00:00:00"/>
        <d v="2012-05-24T00:00:00"/>
        <d v="2012-06-28T00:00:00"/>
        <d v="2012-07-02T00:00:00"/>
        <d v="2012-07-12T00:00:00"/>
        <d v="2012-08-07T00:00:00"/>
        <d v="2012-09-06T00:00:00"/>
        <d v="2012-10-15T00:00:00"/>
        <d v="2012-10-24T00:00:00"/>
        <d v="2012-11-08T00:00:00"/>
        <d v="2012-11-14T00:00:00"/>
        <d v="2012-11-28T00:00:00"/>
        <d v="2013-01-08T00:00:00"/>
        <d v="2013-01-09T00:00:00"/>
        <d v="2013-02-12T00:00:00"/>
        <d v="2013-03-08T00:00:00"/>
        <d v="2013-03-26T00:00:00"/>
        <d v="2013-03-27T00:00:00"/>
        <d v="2013-04-24T00:00:00"/>
        <d v="2013-04-26T00:00:00"/>
        <d v="2013-05-14T00:00:00"/>
        <d v="2013-05-15T00:00:00"/>
        <d v="2013-05-28T00:00:00"/>
        <d v="2013-06-07T00:00:00"/>
        <d v="2013-07-11T00:00:00"/>
        <d v="2013-08-08T00:00:00"/>
        <d v="2013-08-22T00:00:00"/>
        <d v="2013-08-27T00:00:00"/>
        <d v="2013-09-05T00:00:00"/>
        <d v="2013-09-17T00:00:00"/>
        <d v="2013-09-19T00:00:00"/>
        <d v="2013-09-20T00:00:00"/>
        <d v="2013-10-01T00:00:00"/>
        <d v="2013-10-15T00:00:00"/>
        <d v="2013-11-06T00:00:00"/>
        <d v="2013-11-12T00:00:00"/>
        <d v="2013-11-18T00:00:00"/>
        <d v="2013-12-10T00:00:00"/>
        <d v="2013-12-16T00:00:00"/>
        <d v="2014-01-08T00:00:00"/>
        <d v="2014-01-22T00:00:00"/>
        <d v="2014-01-23T00:00:00"/>
        <d v="2014-01-24T00:00:00"/>
        <d v="2014-02-18T00:00:00"/>
        <d v="2014-02-21T00:00:00"/>
        <d v="2014-02-24T00:00:00"/>
        <d v="2014-02-25T00:00:00"/>
        <d v="2014-03-11T00:00:00"/>
        <d v="2014-03-17T00:00:00"/>
        <d v="2014-03-21T00:00:00"/>
        <d v="2014-03-28T00:00:00"/>
        <d v="2014-04-18T00:00:00"/>
        <d v="2014-04-29T00:00:00"/>
        <d v="2014-04-30T00:00:00"/>
        <d v="2014-05-16T00:00:00"/>
        <d v="2014-06-13T00:00:00"/>
        <d v="2014-08-11T00:00:00"/>
        <d v="2014-10-13T00:00:00"/>
        <d v="2014-10-17T00:00:00"/>
        <d v="2014-10-20T00:00:00"/>
        <d v="2014-10-23T00:00:00"/>
        <d v="2014-11-13T00:00:00"/>
        <d v="2014-11-17T00:00:00"/>
        <d v="2015-03-04T00:00:00"/>
        <d v="2015-03-18T00:00:00"/>
        <d v="2015-04-08T00:00:00"/>
        <d v="2015-04-30T00:00:00"/>
        <d v="2015-05-29T00:00:00"/>
        <d v="2015-06-03T00:00:00"/>
        <d v="2015-06-11T00:00:00"/>
        <d v="2015-06-17T00:00:00"/>
        <d v="2015-06-22T00:00:00"/>
        <d v="2015-06-25T00:00:00"/>
        <d v="2015-07-06T00:00:00"/>
        <d v="2015-07-23T00:00:00"/>
        <d v="2015-08-13T00:00:00"/>
        <d v="2015-08-27T00:00:00"/>
        <d v="2015-10-19T00:00:00"/>
        <d v="2015-11-04T00:00:00"/>
        <d v="2015-11-18T00:00:00"/>
        <d v="2015-12-02T00:00:00"/>
        <d v="2015-12-15T00:00:00"/>
        <d v="2016-01-05T00:00:00"/>
        <d v="2016-01-18T00:00:00"/>
        <d v="2016-01-21T00:00:00"/>
        <d v="2016-01-28T00:00:00"/>
        <d v="2016-02-02T00:00:00"/>
        <d v="2016-03-01T00:00:00"/>
        <d v="2016-03-09T00:00:00"/>
        <d v="2016-04-12T00:00:00"/>
        <d v="2016-04-15T00:00:00"/>
        <d v="2016-04-19T00:00:00"/>
        <d v="2016-05-09T00:00:00"/>
        <d v="2016-05-19T00:00:00"/>
        <d v="2016-05-26T00:00:00"/>
        <d v="2016-06-08T00:00:00"/>
        <d v="2016-06-15T00:00:00"/>
        <d v="2016-06-21T00:00:00"/>
        <d v="2016-06-22T00:00:00"/>
        <d v="2016-06-23T00:00:00"/>
        <d v="2016-06-28T00:00:00"/>
        <d v="2016-08-02T00:00:00"/>
        <d v="2016-08-05T00:00:00"/>
        <d v="2016-09-06T00:00:00"/>
        <d v="2016-09-22T00:00:00"/>
        <d v="2016-10-04T00:00:00"/>
        <d v="2016-10-17T00:00:00"/>
        <d v="2016-10-20T00:00:00"/>
        <d v="2016-11-01T00:00:00"/>
        <d v="2016-11-09T00:00:00"/>
        <d v="2016-11-16T00:00:00"/>
        <d v="2016-11-18T00:00:00"/>
        <d v="2016-12-30T00:00:00"/>
        <d v="2017-01-05T00:00:00"/>
        <d v="2017-02-03T00:00:00"/>
        <d v="2017-02-09T00:00:00"/>
        <d v="2017-03-08T00:00:00"/>
        <d v="2017-03-09T00:00:00"/>
        <d v="2017-03-15T00:00:00"/>
        <d v="2017-04-11T00:00:00"/>
        <d v="2017-04-13T00:00:00"/>
        <d v="2017-04-28T00:00:00"/>
        <d v="2017-05-02T00:00:00"/>
        <d v="2017-05-16T00:00:00"/>
        <d v="2017-05-25T00:00:00"/>
        <d v="2017-05-26T00:00:00"/>
        <d v="2017-06-13T00:00:00"/>
        <d v="2017-06-16T00:00:00"/>
        <d v="2017-06-23T00:00:00"/>
        <d v="2017-06-26T00:00:00"/>
        <d v="2017-06-28T00:00:00"/>
        <d v="2017-06-29T00:00:00"/>
        <d v="2017-07-12T00:00:00"/>
        <d v="2017-07-21T00:00:00"/>
        <d v="2017-07-25T00:00:00"/>
        <d v="2017-07-27T00:00:00"/>
        <d v="2017-08-09T00:00:00"/>
        <d v="2017-08-10T00:00:00"/>
        <d v="2017-08-17T00:00:00"/>
        <d v="2017-08-22T00:00:00"/>
        <d v="2017-08-24T00:00:00"/>
        <d v="2017-09-06T00:00:00"/>
        <d v="2017-09-19T00:00:00"/>
        <d v="2017-09-21T00:00:00"/>
        <d v="2017-10-04T00:00:00"/>
        <d v="2017-10-17T00:00:00"/>
        <d v="2017-10-19T00:00:00"/>
        <d v="2017-10-26T00:00:00"/>
        <d v="2017-11-01T00:00:00"/>
        <d v="2017-11-09T00:00:00"/>
        <d v="2017-11-16T00:00:00"/>
        <d v="2017-12-14T00:00:00"/>
        <d v="2018-01-04T00:00:00"/>
        <d v="2018-02-05T00:00:00"/>
        <d v="2018-02-19T00:00:00"/>
        <d v="2018-02-21T00:00:00"/>
        <d v="2018-02-28T00:00:00"/>
        <d v="2018-03-05T00:00:00"/>
        <d v="2018-03-06T00:00:00"/>
        <d v="2018-03-08T00:00:00"/>
        <d v="2018-03-16T00:00:00"/>
        <d v="2018-03-27T00:00:00"/>
        <d v="2018-04-04T00:00:00"/>
        <d v="2018-04-09T00:00:00"/>
        <d v="2018-04-16T00:00:00"/>
        <d v="2018-05-14T00:00:00"/>
        <d v="2018-05-25T00:00:00"/>
        <d v="2018-06-14T00:00:00"/>
        <d v="2018-08-17T00:00:00"/>
        <d v="2018-08-23T00:00:00"/>
        <d v="2018-09-20T00:00:00"/>
        <d v="2018-10-09T00:00:00"/>
        <d v="2018-10-12T00:00:00"/>
        <d v="2018-10-18T00:00:00"/>
        <d v="2018-11-01T00:00:00"/>
        <d v="2018-11-15T00:00:00"/>
        <d v="2018-11-29T00:00:00"/>
        <d v="2018-12-13T00:00:00"/>
        <d v="2018-12-20T00:00:00"/>
        <d v="2019-01-10T00:00:00"/>
        <d v="2019-02-05T00:00:00"/>
        <d v="2019-03-04T00:00:00"/>
        <d v="2019-03-13T00:00:00"/>
        <d v="2019-05-02T00:00:00"/>
        <d v="2019-07-18T00:00:00"/>
        <d v="2019-07-19T00:00:00"/>
        <d v="2019-08-19T00:00:00"/>
        <d v="2019-08-22T00:00:00"/>
        <d v="2019-09-17T00:00:00"/>
        <d v="2019-09-23T00:00:00"/>
        <d v="2019-09-26T00:00:00"/>
        <d v="2019-09-30T00:00:00"/>
        <d v="2019-10-03T00:00:00"/>
        <d v="2019-10-06T00:00:00"/>
        <d v="2019-10-24T00:00:00"/>
        <d v="2019-11-08T00:00:00"/>
        <d v="2019-11-12T00:00:00"/>
        <d v="2019-12-12T00:00:00"/>
        <d v="2019-12-20T00:00:00"/>
        <d v="2020-01-03T00:00:00"/>
        <d v="2020-01-09T00:00:00"/>
        <d v="2020-01-21T00:00:00"/>
        <d v="2020-03-09T00:00:00"/>
        <d v="2020-03-25T00:00:00"/>
        <d v="2020-03-31T00:00:00"/>
        <d v="2020-07-09T00:00:00"/>
        <d v="2020-07-14T00:00:00"/>
        <d v="2020-09-15T00:00:00"/>
        <d v="2020-09-29T00:00:00"/>
        <d v="2020-10-08T00:00:00"/>
        <d v="2020-10-20T00:00:00"/>
        <d v="2020-10-27T00:00:00"/>
        <d v="2020-11-11T00:00:00"/>
        <d v="2020-11-19T00:00:00"/>
        <d v="2020-11-24T00:00:00"/>
        <d v="2020-12-22T00:00:00"/>
        <d v="2020-12-30T00:00:00"/>
        <d v="2021-01-04T00:00:00"/>
        <d v="2021-01-05T00:00:00"/>
        <d v="2021-01-12T00:00:00"/>
        <d v="2021-02-25T00:00:00"/>
        <d v="2021-03-02T00:00:00"/>
        <d v="2021-03-09T00:00:00"/>
        <d v="2021-03-25T00:00:00"/>
        <d v="2021-04-07T00:00:00"/>
        <d v="2021-04-08T00:00:00"/>
        <d v="2021-04-14T00:00:00"/>
        <d v="2021-04-23T00:00:00"/>
        <d v="2021-05-20T00:00:00"/>
        <d v="2021-06-17T00:00:00"/>
        <d v="2021-06-21T00:00:00"/>
        <d v="2021-08-26T00:00:00"/>
        <d v="2021-09-01T00:00:00"/>
        <d v="2021-09-02T00:00:00"/>
        <d v="2021-10-05T00:00:00"/>
        <d v="2022-02-09T00:00:00"/>
        <d v="2021-12-15T00:00:00"/>
        <d v="2022-02-23T00:00:00"/>
        <d v="2021-10-07T00:00:00"/>
        <d v="2021-11-04T00:00:00"/>
        <d v="2022-03-16T00:00:00"/>
        <d v="2022-04-20T00:00:00"/>
        <d v="2022-05-03T00:00:00"/>
      </sharedItems>
      <fieldGroup par="11" base="1">
        <rangePr groupBy="months" startDate="2004-06-22T00:00:00" endDate="2022-05-04T00:00:00"/>
        <groupItems count="14">
          <s v="&lt;6/22/200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4/2022"/>
        </groupItems>
      </fieldGroup>
    </cacheField>
    <cacheField name="Pt" numFmtId="49">
      <sharedItems/>
    </cacheField>
    <cacheField name="Physicist(s)" numFmtId="0">
      <sharedItems containsBlank="1"/>
    </cacheField>
    <cacheField name="MD(s)" numFmtId="0">
      <sharedItems containsBlank="1"/>
    </cacheField>
    <cacheField name="BB" numFmtId="0">
      <sharedItems containsSemiMixedTypes="0" containsString="0" containsNumber="1" containsInteger="1" minValue="0" maxValue="1" count="2">
        <n v="0"/>
        <n v="1"/>
      </sharedItems>
    </cacheField>
    <cacheField name="DZ" numFmtId="0">
      <sharedItems containsSemiMixedTypes="0" containsString="0" containsNumber="1" containsInteger="1" minValue="0" maxValue="1" count="2">
        <n v="0"/>
        <n v="1"/>
      </sharedItems>
    </cacheField>
    <cacheField name="ZC" numFmtId="0">
      <sharedItems containsSemiMixedTypes="0" containsString="0" containsNumber="1" containsInteger="1" minValue="0" maxValue="1" count="2">
        <n v="0"/>
        <n v="1"/>
      </sharedItems>
    </cacheField>
    <cacheField name="DJ" numFmtId="0">
      <sharedItems containsSemiMixedTypes="0" containsString="0" containsNumber="1" containsInteger="1" minValue="0" maxValue="1" count="2">
        <n v="0"/>
        <n v="1"/>
      </sharedItems>
    </cacheField>
    <cacheField name="JS" numFmtId="0">
      <sharedItems containsSemiMixedTypes="0" containsString="0" containsNumber="1" containsInteger="1" minValue="0" maxValue="1" count="2">
        <n v="0"/>
        <n v="1"/>
      </sharedItems>
    </cacheField>
    <cacheField name="Quarters" numFmtId="0" databaseField="0">
      <fieldGroup base="1">
        <rangePr groupBy="quarters" startDate="2004-06-22T00:00:00" endDate="2022-05-04T00:00:00"/>
        <groupItems count="6">
          <s v="&lt;6/22/2004"/>
          <s v="Qtr1"/>
          <s v="Qtr2"/>
          <s v="Qtr3"/>
          <s v="Qtr4"/>
          <s v="&gt;5/4/2022"/>
        </groupItems>
      </fieldGroup>
    </cacheField>
    <cacheField name="Years" numFmtId="0" databaseField="0">
      <fieldGroup base="1">
        <rangePr groupBy="years" startDate="2004-06-22T00:00:00" endDate="2022-05-04T00:00:00"/>
        <groupItems count="21">
          <s v="&lt;6/22/2004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&gt;5/4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89">
  <r>
    <x v="0"/>
    <x v="0"/>
    <s v="000032349"/>
    <m/>
    <m/>
    <x v="0"/>
    <x v="0"/>
    <x v="0"/>
    <x v="0"/>
    <x v="0"/>
  </r>
  <r>
    <x v="0"/>
    <x v="1"/>
    <s v="000187387"/>
    <m/>
    <m/>
    <x v="0"/>
    <x v="0"/>
    <x v="0"/>
    <x v="0"/>
    <x v="0"/>
  </r>
  <r>
    <x v="1"/>
    <x v="2"/>
    <s v="000389238"/>
    <m/>
    <m/>
    <x v="0"/>
    <x v="0"/>
    <x v="0"/>
    <x v="0"/>
    <x v="0"/>
  </r>
  <r>
    <x v="2"/>
    <x v="3"/>
    <s v="000206675"/>
    <m/>
    <m/>
    <x v="0"/>
    <x v="0"/>
    <x v="0"/>
    <x v="0"/>
    <x v="0"/>
  </r>
  <r>
    <x v="0"/>
    <x v="4"/>
    <s v="000100321"/>
    <m/>
    <m/>
    <x v="0"/>
    <x v="0"/>
    <x v="0"/>
    <x v="0"/>
    <x v="0"/>
  </r>
  <r>
    <x v="2"/>
    <x v="5"/>
    <s v="000392667"/>
    <m/>
    <m/>
    <x v="0"/>
    <x v="0"/>
    <x v="0"/>
    <x v="0"/>
    <x v="0"/>
  </r>
  <r>
    <x v="0"/>
    <x v="6"/>
    <s v="000270523"/>
    <m/>
    <m/>
    <x v="0"/>
    <x v="0"/>
    <x v="0"/>
    <x v="0"/>
    <x v="0"/>
  </r>
  <r>
    <x v="0"/>
    <x v="7"/>
    <s v="000319858"/>
    <m/>
    <m/>
    <x v="0"/>
    <x v="0"/>
    <x v="0"/>
    <x v="0"/>
    <x v="0"/>
  </r>
  <r>
    <x v="0"/>
    <x v="8"/>
    <s v="000362859"/>
    <m/>
    <m/>
    <x v="0"/>
    <x v="0"/>
    <x v="0"/>
    <x v="0"/>
    <x v="0"/>
  </r>
  <r>
    <x v="2"/>
    <x v="8"/>
    <s v="000393264"/>
    <m/>
    <m/>
    <x v="0"/>
    <x v="0"/>
    <x v="0"/>
    <x v="0"/>
    <x v="0"/>
  </r>
  <r>
    <x v="1"/>
    <x v="9"/>
    <s v="000303196"/>
    <m/>
    <m/>
    <x v="0"/>
    <x v="0"/>
    <x v="0"/>
    <x v="0"/>
    <x v="0"/>
  </r>
  <r>
    <x v="1"/>
    <x v="10"/>
    <s v="000393222"/>
    <m/>
    <m/>
    <x v="0"/>
    <x v="0"/>
    <x v="0"/>
    <x v="0"/>
    <x v="0"/>
  </r>
  <r>
    <x v="2"/>
    <x v="11"/>
    <s v="000035098"/>
    <m/>
    <m/>
    <x v="0"/>
    <x v="0"/>
    <x v="0"/>
    <x v="0"/>
    <x v="0"/>
  </r>
  <r>
    <x v="0"/>
    <x v="12"/>
    <s v="000110395"/>
    <m/>
    <m/>
    <x v="0"/>
    <x v="0"/>
    <x v="0"/>
    <x v="0"/>
    <x v="0"/>
  </r>
  <r>
    <x v="1"/>
    <x v="13"/>
    <s v="000393222"/>
    <m/>
    <m/>
    <x v="0"/>
    <x v="0"/>
    <x v="0"/>
    <x v="0"/>
    <x v="0"/>
  </r>
  <r>
    <x v="0"/>
    <x v="13"/>
    <s v="000386792"/>
    <m/>
    <m/>
    <x v="0"/>
    <x v="0"/>
    <x v="0"/>
    <x v="0"/>
    <x v="0"/>
  </r>
  <r>
    <x v="0"/>
    <x v="14"/>
    <s v="000113221"/>
    <m/>
    <m/>
    <x v="0"/>
    <x v="0"/>
    <x v="0"/>
    <x v="0"/>
    <x v="0"/>
  </r>
  <r>
    <x v="1"/>
    <x v="15"/>
    <s v="000303196"/>
    <m/>
    <m/>
    <x v="0"/>
    <x v="0"/>
    <x v="0"/>
    <x v="0"/>
    <x v="0"/>
  </r>
  <r>
    <x v="1"/>
    <x v="16"/>
    <s v="000395937"/>
    <m/>
    <m/>
    <x v="0"/>
    <x v="0"/>
    <x v="0"/>
    <x v="0"/>
    <x v="0"/>
  </r>
  <r>
    <x v="2"/>
    <x v="16"/>
    <s v="000396352"/>
    <m/>
    <m/>
    <x v="0"/>
    <x v="0"/>
    <x v="0"/>
    <x v="0"/>
    <x v="0"/>
  </r>
  <r>
    <x v="1"/>
    <x v="17"/>
    <s v="000395937"/>
    <m/>
    <m/>
    <x v="0"/>
    <x v="0"/>
    <x v="0"/>
    <x v="0"/>
    <x v="0"/>
  </r>
  <r>
    <x v="2"/>
    <x v="18"/>
    <s v="000394072"/>
    <m/>
    <m/>
    <x v="0"/>
    <x v="0"/>
    <x v="0"/>
    <x v="0"/>
    <x v="0"/>
  </r>
  <r>
    <x v="2"/>
    <x v="19"/>
    <s v="000019343"/>
    <m/>
    <m/>
    <x v="0"/>
    <x v="0"/>
    <x v="0"/>
    <x v="0"/>
    <x v="0"/>
  </r>
  <r>
    <x v="0"/>
    <x v="20"/>
    <s v="000397444"/>
    <m/>
    <m/>
    <x v="0"/>
    <x v="0"/>
    <x v="0"/>
    <x v="0"/>
    <x v="0"/>
  </r>
  <r>
    <x v="1"/>
    <x v="21"/>
    <s v="Lawson, Lori"/>
    <m/>
    <m/>
    <x v="0"/>
    <x v="0"/>
    <x v="0"/>
    <x v="0"/>
    <x v="0"/>
  </r>
  <r>
    <x v="2"/>
    <x v="22"/>
    <s v="000096228"/>
    <m/>
    <m/>
    <x v="0"/>
    <x v="0"/>
    <x v="0"/>
    <x v="0"/>
    <x v="0"/>
  </r>
  <r>
    <x v="1"/>
    <x v="23"/>
    <s v="000399212"/>
    <m/>
    <m/>
    <x v="0"/>
    <x v="0"/>
    <x v="0"/>
    <x v="0"/>
    <x v="0"/>
  </r>
  <r>
    <x v="2"/>
    <x v="24"/>
    <s v="000388059"/>
    <m/>
    <m/>
    <x v="0"/>
    <x v="0"/>
    <x v="0"/>
    <x v="0"/>
    <x v="0"/>
  </r>
  <r>
    <x v="1"/>
    <x v="25"/>
    <s v="000232702"/>
    <m/>
    <m/>
    <x v="0"/>
    <x v="0"/>
    <x v="0"/>
    <x v="0"/>
    <x v="0"/>
  </r>
  <r>
    <x v="0"/>
    <x v="26"/>
    <s v="000354607"/>
    <m/>
    <m/>
    <x v="0"/>
    <x v="0"/>
    <x v="0"/>
    <x v="0"/>
    <x v="0"/>
  </r>
  <r>
    <x v="0"/>
    <x v="27"/>
    <s v="000300906"/>
    <m/>
    <m/>
    <x v="0"/>
    <x v="0"/>
    <x v="0"/>
    <x v="0"/>
    <x v="0"/>
  </r>
  <r>
    <x v="0"/>
    <x v="28"/>
    <s v="000279858"/>
    <m/>
    <m/>
    <x v="0"/>
    <x v="0"/>
    <x v="0"/>
    <x v="0"/>
    <x v="0"/>
  </r>
  <r>
    <x v="1"/>
    <x v="29"/>
    <s v="000045105"/>
    <m/>
    <m/>
    <x v="0"/>
    <x v="0"/>
    <x v="0"/>
    <x v="0"/>
    <x v="0"/>
  </r>
  <r>
    <x v="0"/>
    <x v="30"/>
    <s v="000367884"/>
    <m/>
    <m/>
    <x v="0"/>
    <x v="0"/>
    <x v="0"/>
    <x v="0"/>
    <x v="0"/>
  </r>
  <r>
    <x v="2"/>
    <x v="31"/>
    <s v="000367884"/>
    <m/>
    <m/>
    <x v="0"/>
    <x v="0"/>
    <x v="0"/>
    <x v="0"/>
    <x v="0"/>
  </r>
  <r>
    <x v="0"/>
    <x v="32"/>
    <s v="000103714"/>
    <m/>
    <m/>
    <x v="0"/>
    <x v="0"/>
    <x v="0"/>
    <x v="0"/>
    <x v="0"/>
  </r>
  <r>
    <x v="0"/>
    <x v="33"/>
    <s v="000287149"/>
    <m/>
    <m/>
    <x v="0"/>
    <x v="0"/>
    <x v="0"/>
    <x v="0"/>
    <x v="0"/>
  </r>
  <r>
    <x v="1"/>
    <x v="34"/>
    <s v="000045105"/>
    <m/>
    <m/>
    <x v="0"/>
    <x v="0"/>
    <x v="0"/>
    <x v="0"/>
    <x v="0"/>
  </r>
  <r>
    <x v="2"/>
    <x v="35"/>
    <s v="000227186"/>
    <m/>
    <m/>
    <x v="0"/>
    <x v="0"/>
    <x v="0"/>
    <x v="0"/>
    <x v="0"/>
  </r>
  <r>
    <x v="1"/>
    <x v="36"/>
    <s v="000312150"/>
    <m/>
    <m/>
    <x v="0"/>
    <x v="0"/>
    <x v="0"/>
    <x v="0"/>
    <x v="0"/>
  </r>
  <r>
    <x v="2"/>
    <x v="37"/>
    <s v="000402432"/>
    <m/>
    <m/>
    <x v="0"/>
    <x v="0"/>
    <x v="0"/>
    <x v="0"/>
    <x v="0"/>
  </r>
  <r>
    <x v="1"/>
    <x v="38"/>
    <s v="000312150"/>
    <m/>
    <m/>
    <x v="0"/>
    <x v="0"/>
    <x v="0"/>
    <x v="0"/>
    <x v="0"/>
  </r>
  <r>
    <x v="2"/>
    <x v="39"/>
    <s v="000394605"/>
    <m/>
    <m/>
    <x v="0"/>
    <x v="0"/>
    <x v="0"/>
    <x v="0"/>
    <x v="0"/>
  </r>
  <r>
    <x v="1"/>
    <x v="40"/>
    <s v="000202749"/>
    <m/>
    <m/>
    <x v="0"/>
    <x v="0"/>
    <x v="0"/>
    <x v="0"/>
    <x v="0"/>
  </r>
  <r>
    <x v="2"/>
    <x v="41"/>
    <s v="Frasier, Wanda"/>
    <m/>
    <m/>
    <x v="0"/>
    <x v="0"/>
    <x v="0"/>
    <x v="0"/>
    <x v="0"/>
  </r>
  <r>
    <x v="0"/>
    <x v="42"/>
    <s v="000223974"/>
    <m/>
    <m/>
    <x v="0"/>
    <x v="0"/>
    <x v="0"/>
    <x v="0"/>
    <x v="0"/>
  </r>
  <r>
    <x v="1"/>
    <x v="43"/>
    <s v="000202749"/>
    <m/>
    <m/>
    <x v="0"/>
    <x v="0"/>
    <x v="0"/>
    <x v="0"/>
    <x v="0"/>
  </r>
  <r>
    <x v="2"/>
    <x v="43"/>
    <s v="000218716"/>
    <m/>
    <m/>
    <x v="0"/>
    <x v="0"/>
    <x v="0"/>
    <x v="0"/>
    <x v="0"/>
  </r>
  <r>
    <x v="0"/>
    <x v="44"/>
    <s v="000112882"/>
    <m/>
    <m/>
    <x v="0"/>
    <x v="0"/>
    <x v="0"/>
    <x v="0"/>
    <x v="0"/>
  </r>
  <r>
    <x v="0"/>
    <x v="45"/>
    <s v="000151527"/>
    <m/>
    <m/>
    <x v="0"/>
    <x v="0"/>
    <x v="0"/>
    <x v="0"/>
    <x v="0"/>
  </r>
  <r>
    <x v="0"/>
    <x v="46"/>
    <s v="000333499"/>
    <m/>
    <m/>
    <x v="0"/>
    <x v="0"/>
    <x v="0"/>
    <x v="0"/>
    <x v="0"/>
  </r>
  <r>
    <x v="0"/>
    <x v="47"/>
    <s v="000405744"/>
    <m/>
    <m/>
    <x v="0"/>
    <x v="0"/>
    <x v="0"/>
    <x v="0"/>
    <x v="0"/>
  </r>
  <r>
    <x v="0"/>
    <x v="48"/>
    <s v="000386792"/>
    <m/>
    <m/>
    <x v="0"/>
    <x v="0"/>
    <x v="0"/>
    <x v="0"/>
    <x v="0"/>
  </r>
  <r>
    <x v="2"/>
    <x v="49"/>
    <s v="000406829"/>
    <m/>
    <m/>
    <x v="0"/>
    <x v="0"/>
    <x v="0"/>
    <x v="0"/>
    <x v="0"/>
  </r>
  <r>
    <x v="0"/>
    <x v="50"/>
    <s v="000109306"/>
    <m/>
    <m/>
    <x v="0"/>
    <x v="0"/>
    <x v="0"/>
    <x v="0"/>
    <x v="0"/>
  </r>
  <r>
    <x v="0"/>
    <x v="51"/>
    <s v="000110395"/>
    <m/>
    <m/>
    <x v="0"/>
    <x v="0"/>
    <x v="0"/>
    <x v="0"/>
    <x v="0"/>
  </r>
  <r>
    <x v="2"/>
    <x v="52"/>
    <s v="000408081"/>
    <m/>
    <m/>
    <x v="0"/>
    <x v="0"/>
    <x v="0"/>
    <x v="0"/>
    <x v="0"/>
  </r>
  <r>
    <x v="2"/>
    <x v="53"/>
    <s v="000217307"/>
    <m/>
    <m/>
    <x v="0"/>
    <x v="0"/>
    <x v="0"/>
    <x v="0"/>
    <x v="0"/>
  </r>
  <r>
    <x v="0"/>
    <x v="54"/>
    <s v="000113221"/>
    <m/>
    <m/>
    <x v="0"/>
    <x v="0"/>
    <x v="0"/>
    <x v="0"/>
    <x v="0"/>
  </r>
  <r>
    <x v="2"/>
    <x v="55"/>
    <s v="000325888"/>
    <m/>
    <m/>
    <x v="0"/>
    <x v="0"/>
    <x v="0"/>
    <x v="0"/>
    <x v="0"/>
  </r>
  <r>
    <x v="0"/>
    <x v="56"/>
    <s v="000332648"/>
    <m/>
    <m/>
    <x v="0"/>
    <x v="0"/>
    <x v="0"/>
    <x v="0"/>
    <x v="0"/>
  </r>
  <r>
    <x v="0"/>
    <x v="57"/>
    <s v="000212108"/>
    <m/>
    <m/>
    <x v="0"/>
    <x v="0"/>
    <x v="0"/>
    <x v="0"/>
    <x v="0"/>
  </r>
  <r>
    <x v="0"/>
    <x v="57"/>
    <s v="Hall, Angela"/>
    <m/>
    <m/>
    <x v="0"/>
    <x v="0"/>
    <x v="0"/>
    <x v="0"/>
    <x v="0"/>
  </r>
  <r>
    <x v="0"/>
    <x v="58"/>
    <s v="000236595"/>
    <m/>
    <m/>
    <x v="0"/>
    <x v="0"/>
    <x v="0"/>
    <x v="0"/>
    <x v="0"/>
  </r>
  <r>
    <x v="0"/>
    <x v="59"/>
    <s v="000187387"/>
    <m/>
    <m/>
    <x v="0"/>
    <x v="0"/>
    <x v="0"/>
    <x v="0"/>
    <x v="0"/>
  </r>
  <r>
    <x v="1"/>
    <x v="60"/>
    <s v="000386208"/>
    <m/>
    <m/>
    <x v="0"/>
    <x v="0"/>
    <x v="0"/>
    <x v="0"/>
    <x v="0"/>
  </r>
  <r>
    <x v="0"/>
    <x v="61"/>
    <s v="000405744"/>
    <m/>
    <m/>
    <x v="0"/>
    <x v="0"/>
    <x v="0"/>
    <x v="0"/>
    <x v="0"/>
  </r>
  <r>
    <x v="0"/>
    <x v="62"/>
    <s v="000383082"/>
    <m/>
    <m/>
    <x v="0"/>
    <x v="0"/>
    <x v="0"/>
    <x v="0"/>
    <x v="0"/>
  </r>
  <r>
    <x v="0"/>
    <x v="63"/>
    <s v="000370915"/>
    <m/>
    <m/>
    <x v="0"/>
    <x v="0"/>
    <x v="0"/>
    <x v="0"/>
    <x v="0"/>
  </r>
  <r>
    <x v="0"/>
    <x v="64"/>
    <s v="000413809"/>
    <m/>
    <m/>
    <x v="0"/>
    <x v="0"/>
    <x v="0"/>
    <x v="0"/>
    <x v="0"/>
  </r>
  <r>
    <x v="0"/>
    <x v="65"/>
    <s v="000393384"/>
    <m/>
    <m/>
    <x v="0"/>
    <x v="0"/>
    <x v="0"/>
    <x v="0"/>
    <x v="0"/>
  </r>
  <r>
    <x v="2"/>
    <x v="66"/>
    <s v="000227186"/>
    <m/>
    <m/>
    <x v="0"/>
    <x v="0"/>
    <x v="0"/>
    <x v="0"/>
    <x v="0"/>
  </r>
  <r>
    <x v="0"/>
    <x v="67"/>
    <s v="000352189"/>
    <m/>
    <m/>
    <x v="0"/>
    <x v="0"/>
    <x v="0"/>
    <x v="0"/>
    <x v="0"/>
  </r>
  <r>
    <x v="0"/>
    <x v="68"/>
    <s v="000416190"/>
    <m/>
    <m/>
    <x v="0"/>
    <x v="0"/>
    <x v="0"/>
    <x v="0"/>
    <x v="0"/>
  </r>
  <r>
    <x v="2"/>
    <x v="69"/>
    <s v="000130370"/>
    <m/>
    <m/>
    <x v="0"/>
    <x v="0"/>
    <x v="0"/>
    <x v="0"/>
    <x v="0"/>
  </r>
  <r>
    <x v="2"/>
    <x v="70"/>
    <s v="000359281"/>
    <m/>
    <m/>
    <x v="0"/>
    <x v="0"/>
    <x v="0"/>
    <x v="0"/>
    <x v="0"/>
  </r>
  <r>
    <x v="2"/>
    <x v="71"/>
    <s v="000181951"/>
    <m/>
    <m/>
    <x v="0"/>
    <x v="0"/>
    <x v="0"/>
    <x v="0"/>
    <x v="0"/>
  </r>
  <r>
    <x v="2"/>
    <x v="72"/>
    <s v="000200884"/>
    <m/>
    <m/>
    <x v="0"/>
    <x v="0"/>
    <x v="0"/>
    <x v="0"/>
    <x v="0"/>
  </r>
  <r>
    <x v="0"/>
    <x v="72"/>
    <s v="000192934"/>
    <m/>
    <m/>
    <x v="0"/>
    <x v="0"/>
    <x v="0"/>
    <x v="0"/>
    <x v="0"/>
  </r>
  <r>
    <x v="1"/>
    <x v="73"/>
    <s v="000173115"/>
    <m/>
    <m/>
    <x v="0"/>
    <x v="0"/>
    <x v="0"/>
    <x v="0"/>
    <x v="0"/>
  </r>
  <r>
    <x v="1"/>
    <x v="74"/>
    <s v="000173115"/>
    <m/>
    <m/>
    <x v="0"/>
    <x v="0"/>
    <x v="0"/>
    <x v="0"/>
    <x v="0"/>
  </r>
  <r>
    <x v="2"/>
    <x v="75"/>
    <s v="000093993"/>
    <m/>
    <m/>
    <x v="0"/>
    <x v="0"/>
    <x v="0"/>
    <x v="0"/>
    <x v="0"/>
  </r>
  <r>
    <x v="0"/>
    <x v="76"/>
    <s v="000412602"/>
    <m/>
    <m/>
    <x v="0"/>
    <x v="0"/>
    <x v="0"/>
    <x v="0"/>
    <x v="0"/>
  </r>
  <r>
    <x v="2"/>
    <x v="77"/>
    <s v="000357557"/>
    <m/>
    <m/>
    <x v="0"/>
    <x v="0"/>
    <x v="0"/>
    <x v="0"/>
    <x v="0"/>
  </r>
  <r>
    <x v="0"/>
    <x v="78"/>
    <s v="000333499"/>
    <m/>
    <m/>
    <x v="0"/>
    <x v="0"/>
    <x v="0"/>
    <x v="0"/>
    <x v="0"/>
  </r>
  <r>
    <x v="0"/>
    <x v="79"/>
    <s v="000419497"/>
    <m/>
    <m/>
    <x v="0"/>
    <x v="0"/>
    <x v="0"/>
    <x v="0"/>
    <x v="0"/>
  </r>
  <r>
    <x v="1"/>
    <x v="80"/>
    <s v="000301778"/>
    <m/>
    <m/>
    <x v="0"/>
    <x v="0"/>
    <x v="0"/>
    <x v="0"/>
    <x v="0"/>
  </r>
  <r>
    <x v="1"/>
    <x v="81"/>
    <s v="000279999"/>
    <m/>
    <m/>
    <x v="0"/>
    <x v="0"/>
    <x v="0"/>
    <x v="0"/>
    <x v="0"/>
  </r>
  <r>
    <x v="2"/>
    <x v="82"/>
    <s v="000418024"/>
    <m/>
    <m/>
    <x v="0"/>
    <x v="0"/>
    <x v="0"/>
    <x v="0"/>
    <x v="0"/>
  </r>
  <r>
    <x v="1"/>
    <x v="83"/>
    <s v="000301778"/>
    <m/>
    <m/>
    <x v="0"/>
    <x v="0"/>
    <x v="0"/>
    <x v="0"/>
    <x v="0"/>
  </r>
  <r>
    <x v="1"/>
    <x v="84"/>
    <s v="000420512"/>
    <m/>
    <m/>
    <x v="0"/>
    <x v="0"/>
    <x v="0"/>
    <x v="0"/>
    <x v="0"/>
  </r>
  <r>
    <x v="0"/>
    <x v="85"/>
    <s v="000158124"/>
    <m/>
    <m/>
    <x v="0"/>
    <x v="0"/>
    <x v="0"/>
    <x v="0"/>
    <x v="0"/>
  </r>
  <r>
    <x v="2"/>
    <x v="86"/>
    <s v="000405394"/>
    <m/>
    <m/>
    <x v="0"/>
    <x v="0"/>
    <x v="0"/>
    <x v="0"/>
    <x v="0"/>
  </r>
  <r>
    <x v="2"/>
    <x v="87"/>
    <s v="000236595"/>
    <m/>
    <m/>
    <x v="0"/>
    <x v="0"/>
    <x v="0"/>
    <x v="0"/>
    <x v="0"/>
  </r>
  <r>
    <x v="1"/>
    <x v="88"/>
    <s v="000377425"/>
    <m/>
    <m/>
    <x v="0"/>
    <x v="0"/>
    <x v="0"/>
    <x v="0"/>
    <x v="0"/>
  </r>
  <r>
    <x v="2"/>
    <x v="89"/>
    <s v="000425776"/>
    <m/>
    <m/>
    <x v="0"/>
    <x v="0"/>
    <x v="0"/>
    <x v="0"/>
    <x v="0"/>
  </r>
  <r>
    <x v="1"/>
    <x v="90"/>
    <s v="000422898"/>
    <m/>
    <m/>
    <x v="0"/>
    <x v="0"/>
    <x v="0"/>
    <x v="0"/>
    <x v="0"/>
  </r>
  <r>
    <x v="1"/>
    <x v="91"/>
    <s v="000377425"/>
    <m/>
    <m/>
    <x v="0"/>
    <x v="0"/>
    <x v="0"/>
    <x v="0"/>
    <x v="0"/>
  </r>
  <r>
    <x v="2"/>
    <x v="92"/>
    <s v="000235301"/>
    <m/>
    <m/>
    <x v="0"/>
    <x v="0"/>
    <x v="0"/>
    <x v="0"/>
    <x v="0"/>
  </r>
  <r>
    <x v="0"/>
    <x v="93"/>
    <s v="000214497"/>
    <m/>
    <m/>
    <x v="0"/>
    <x v="0"/>
    <x v="0"/>
    <x v="0"/>
    <x v="0"/>
  </r>
  <r>
    <x v="1"/>
    <x v="94"/>
    <s v="000378037"/>
    <m/>
    <m/>
    <x v="0"/>
    <x v="0"/>
    <x v="0"/>
    <x v="0"/>
    <x v="0"/>
  </r>
  <r>
    <x v="2"/>
    <x v="94"/>
    <s v="000426740"/>
    <m/>
    <m/>
    <x v="0"/>
    <x v="0"/>
    <x v="0"/>
    <x v="0"/>
    <x v="0"/>
  </r>
  <r>
    <x v="1"/>
    <x v="95"/>
    <s v="000145772"/>
    <m/>
    <m/>
    <x v="0"/>
    <x v="0"/>
    <x v="0"/>
    <x v="0"/>
    <x v="0"/>
  </r>
  <r>
    <x v="1"/>
    <x v="96"/>
    <s v="000422898"/>
    <m/>
    <m/>
    <x v="0"/>
    <x v="0"/>
    <x v="0"/>
    <x v="0"/>
    <x v="0"/>
  </r>
  <r>
    <x v="1"/>
    <x v="97"/>
    <s v="000378037"/>
    <m/>
    <m/>
    <x v="0"/>
    <x v="0"/>
    <x v="0"/>
    <x v="0"/>
    <x v="0"/>
  </r>
  <r>
    <x v="1"/>
    <x v="98"/>
    <s v="000425342"/>
    <m/>
    <m/>
    <x v="0"/>
    <x v="0"/>
    <x v="0"/>
    <x v="0"/>
    <x v="0"/>
  </r>
  <r>
    <x v="1"/>
    <x v="99"/>
    <s v="000425342"/>
    <m/>
    <m/>
    <x v="0"/>
    <x v="0"/>
    <x v="0"/>
    <x v="0"/>
    <x v="0"/>
  </r>
  <r>
    <x v="0"/>
    <x v="100"/>
    <s v="000428090"/>
    <m/>
    <m/>
    <x v="0"/>
    <x v="0"/>
    <x v="0"/>
    <x v="0"/>
    <x v="0"/>
  </r>
  <r>
    <x v="1"/>
    <x v="101"/>
    <s v="000426483"/>
    <m/>
    <m/>
    <x v="0"/>
    <x v="0"/>
    <x v="0"/>
    <x v="0"/>
    <x v="0"/>
  </r>
  <r>
    <x v="1"/>
    <x v="102"/>
    <s v="000011205"/>
    <m/>
    <m/>
    <x v="0"/>
    <x v="0"/>
    <x v="0"/>
    <x v="0"/>
    <x v="0"/>
  </r>
  <r>
    <x v="0"/>
    <x v="103"/>
    <s v="000308919"/>
    <m/>
    <m/>
    <x v="0"/>
    <x v="0"/>
    <x v="0"/>
    <x v="0"/>
    <x v="0"/>
  </r>
  <r>
    <x v="1"/>
    <x v="104"/>
    <s v="000426483"/>
    <m/>
    <m/>
    <x v="0"/>
    <x v="0"/>
    <x v="0"/>
    <x v="0"/>
    <x v="0"/>
  </r>
  <r>
    <x v="1"/>
    <x v="105"/>
    <s v="000426973"/>
    <m/>
    <m/>
    <x v="0"/>
    <x v="0"/>
    <x v="0"/>
    <x v="0"/>
    <x v="0"/>
  </r>
  <r>
    <x v="2"/>
    <x v="106"/>
    <s v="000383825"/>
    <m/>
    <m/>
    <x v="0"/>
    <x v="0"/>
    <x v="0"/>
    <x v="0"/>
    <x v="0"/>
  </r>
  <r>
    <x v="1"/>
    <x v="107"/>
    <s v="000426973"/>
    <m/>
    <m/>
    <x v="0"/>
    <x v="0"/>
    <x v="0"/>
    <x v="0"/>
    <x v="0"/>
  </r>
  <r>
    <x v="1"/>
    <x v="108"/>
    <s v="000428226"/>
    <m/>
    <m/>
    <x v="0"/>
    <x v="0"/>
    <x v="0"/>
    <x v="0"/>
    <x v="0"/>
  </r>
  <r>
    <x v="0"/>
    <x v="109"/>
    <s v="000235356"/>
    <m/>
    <m/>
    <x v="0"/>
    <x v="0"/>
    <x v="0"/>
    <x v="0"/>
    <x v="0"/>
  </r>
  <r>
    <x v="1"/>
    <x v="110"/>
    <s v="000428226"/>
    <m/>
    <m/>
    <x v="0"/>
    <x v="0"/>
    <x v="0"/>
    <x v="0"/>
    <x v="0"/>
  </r>
  <r>
    <x v="2"/>
    <x v="111"/>
    <s v="000019343"/>
    <m/>
    <m/>
    <x v="0"/>
    <x v="0"/>
    <x v="0"/>
    <x v="0"/>
    <x v="0"/>
  </r>
  <r>
    <x v="1"/>
    <x v="112"/>
    <s v="000377035"/>
    <m/>
    <m/>
    <x v="0"/>
    <x v="0"/>
    <x v="0"/>
    <x v="0"/>
    <x v="0"/>
  </r>
  <r>
    <x v="1"/>
    <x v="113"/>
    <s v="000242627"/>
    <m/>
    <m/>
    <x v="0"/>
    <x v="0"/>
    <x v="0"/>
    <x v="0"/>
    <x v="0"/>
  </r>
  <r>
    <x v="1"/>
    <x v="114"/>
    <s v="000377035"/>
    <m/>
    <m/>
    <x v="0"/>
    <x v="0"/>
    <x v="0"/>
    <x v="0"/>
    <x v="0"/>
  </r>
  <r>
    <x v="2"/>
    <x v="115"/>
    <s v="000390750"/>
    <m/>
    <m/>
    <x v="0"/>
    <x v="0"/>
    <x v="0"/>
    <x v="0"/>
    <x v="0"/>
  </r>
  <r>
    <x v="1"/>
    <x v="116"/>
    <s v="000242627"/>
    <m/>
    <m/>
    <x v="0"/>
    <x v="0"/>
    <x v="0"/>
    <x v="0"/>
    <x v="0"/>
  </r>
  <r>
    <x v="0"/>
    <x v="117"/>
    <s v="000065423"/>
    <m/>
    <m/>
    <x v="0"/>
    <x v="0"/>
    <x v="0"/>
    <x v="0"/>
    <x v="0"/>
  </r>
  <r>
    <x v="0"/>
    <x v="118"/>
    <s v="000174027"/>
    <m/>
    <m/>
    <x v="0"/>
    <x v="0"/>
    <x v="0"/>
    <x v="0"/>
    <x v="0"/>
  </r>
  <r>
    <x v="0"/>
    <x v="119"/>
    <s v="000212584"/>
    <m/>
    <m/>
    <x v="0"/>
    <x v="0"/>
    <x v="0"/>
    <x v="0"/>
    <x v="0"/>
  </r>
  <r>
    <x v="1"/>
    <x v="120"/>
    <s v="000071028"/>
    <m/>
    <m/>
    <x v="0"/>
    <x v="0"/>
    <x v="0"/>
    <x v="0"/>
    <x v="0"/>
  </r>
  <r>
    <x v="0"/>
    <x v="121"/>
    <s v="000428090"/>
    <m/>
    <m/>
    <x v="0"/>
    <x v="0"/>
    <x v="0"/>
    <x v="0"/>
    <x v="0"/>
  </r>
  <r>
    <x v="2"/>
    <x v="122"/>
    <s v="000003030"/>
    <m/>
    <m/>
    <x v="0"/>
    <x v="0"/>
    <x v="0"/>
    <x v="0"/>
    <x v="0"/>
  </r>
  <r>
    <x v="1"/>
    <x v="123"/>
    <s v="000435401"/>
    <m/>
    <m/>
    <x v="0"/>
    <x v="0"/>
    <x v="0"/>
    <x v="0"/>
    <x v="0"/>
  </r>
  <r>
    <x v="0"/>
    <x v="124"/>
    <s v="000376055"/>
    <m/>
    <m/>
    <x v="0"/>
    <x v="0"/>
    <x v="0"/>
    <x v="0"/>
    <x v="0"/>
  </r>
  <r>
    <x v="2"/>
    <x v="125"/>
    <s v="000405394"/>
    <m/>
    <m/>
    <x v="0"/>
    <x v="0"/>
    <x v="0"/>
    <x v="0"/>
    <x v="0"/>
  </r>
  <r>
    <x v="2"/>
    <x v="126"/>
    <s v="000280229"/>
    <m/>
    <m/>
    <x v="0"/>
    <x v="0"/>
    <x v="0"/>
    <x v="0"/>
    <x v="0"/>
  </r>
  <r>
    <x v="0"/>
    <x v="127"/>
    <s v="000438222"/>
    <m/>
    <m/>
    <x v="0"/>
    <x v="0"/>
    <x v="0"/>
    <x v="0"/>
    <x v="0"/>
  </r>
  <r>
    <x v="2"/>
    <x v="128"/>
    <s v="000426740"/>
    <m/>
    <m/>
    <x v="0"/>
    <x v="0"/>
    <x v="0"/>
    <x v="0"/>
    <x v="0"/>
  </r>
  <r>
    <x v="0"/>
    <x v="129"/>
    <s v="000230485"/>
    <m/>
    <m/>
    <x v="0"/>
    <x v="0"/>
    <x v="0"/>
    <x v="0"/>
    <x v="0"/>
  </r>
  <r>
    <x v="2"/>
    <x v="129"/>
    <s v="000440704"/>
    <m/>
    <m/>
    <x v="0"/>
    <x v="0"/>
    <x v="0"/>
    <x v="0"/>
    <x v="0"/>
  </r>
  <r>
    <x v="0"/>
    <x v="129"/>
    <s v="Reecer, Stephanie"/>
    <m/>
    <m/>
    <x v="0"/>
    <x v="0"/>
    <x v="0"/>
    <x v="0"/>
    <x v="0"/>
  </r>
  <r>
    <x v="2"/>
    <x v="130"/>
    <s v="000094521"/>
    <m/>
    <m/>
    <x v="0"/>
    <x v="0"/>
    <x v="0"/>
    <x v="0"/>
    <x v="0"/>
  </r>
  <r>
    <x v="2"/>
    <x v="131"/>
    <s v="000396352"/>
    <m/>
    <m/>
    <x v="0"/>
    <x v="0"/>
    <x v="0"/>
    <x v="0"/>
    <x v="0"/>
  </r>
  <r>
    <x v="2"/>
    <x v="132"/>
    <s v="000021005"/>
    <m/>
    <m/>
    <x v="0"/>
    <x v="0"/>
    <x v="0"/>
    <x v="0"/>
    <x v="0"/>
  </r>
  <r>
    <x v="0"/>
    <x v="133"/>
    <s v="000098135"/>
    <m/>
    <m/>
    <x v="0"/>
    <x v="0"/>
    <x v="0"/>
    <x v="0"/>
    <x v="0"/>
  </r>
  <r>
    <x v="0"/>
    <x v="134"/>
    <s v="000419309"/>
    <m/>
    <m/>
    <x v="0"/>
    <x v="0"/>
    <x v="0"/>
    <x v="0"/>
    <x v="0"/>
  </r>
  <r>
    <x v="2"/>
    <x v="135"/>
    <s v="000438229"/>
    <m/>
    <m/>
    <x v="0"/>
    <x v="0"/>
    <x v="0"/>
    <x v="0"/>
    <x v="0"/>
  </r>
  <r>
    <x v="1"/>
    <x v="136"/>
    <s v="000430625"/>
    <m/>
    <m/>
    <x v="0"/>
    <x v="0"/>
    <x v="0"/>
    <x v="0"/>
    <x v="0"/>
  </r>
  <r>
    <x v="1"/>
    <x v="137"/>
    <s v="000430625"/>
    <m/>
    <m/>
    <x v="0"/>
    <x v="0"/>
    <x v="0"/>
    <x v="0"/>
    <x v="0"/>
  </r>
  <r>
    <x v="0"/>
    <x v="138"/>
    <s v="000321152"/>
    <m/>
    <m/>
    <x v="0"/>
    <x v="0"/>
    <x v="0"/>
    <x v="0"/>
    <x v="0"/>
  </r>
  <r>
    <x v="2"/>
    <x v="139"/>
    <s v="000431413"/>
    <m/>
    <m/>
    <x v="0"/>
    <x v="0"/>
    <x v="0"/>
    <x v="0"/>
    <x v="0"/>
  </r>
  <r>
    <x v="2"/>
    <x v="140"/>
    <s v="000019570"/>
    <m/>
    <m/>
    <x v="0"/>
    <x v="0"/>
    <x v="0"/>
    <x v="0"/>
    <x v="0"/>
  </r>
  <r>
    <x v="0"/>
    <x v="141"/>
    <s v="000418317"/>
    <m/>
    <m/>
    <x v="0"/>
    <x v="0"/>
    <x v="0"/>
    <x v="0"/>
    <x v="0"/>
  </r>
  <r>
    <x v="1"/>
    <x v="142"/>
    <s v="000448426"/>
    <m/>
    <m/>
    <x v="0"/>
    <x v="0"/>
    <x v="0"/>
    <x v="0"/>
    <x v="0"/>
  </r>
  <r>
    <x v="2"/>
    <x v="143"/>
    <s v="000447317"/>
    <m/>
    <m/>
    <x v="0"/>
    <x v="0"/>
    <x v="0"/>
    <x v="0"/>
    <x v="0"/>
  </r>
  <r>
    <x v="2"/>
    <x v="144"/>
    <s v="000204394"/>
    <m/>
    <m/>
    <x v="0"/>
    <x v="0"/>
    <x v="0"/>
    <x v="0"/>
    <x v="0"/>
  </r>
  <r>
    <x v="0"/>
    <x v="145"/>
    <s v="000192640"/>
    <m/>
    <m/>
    <x v="0"/>
    <x v="0"/>
    <x v="0"/>
    <x v="0"/>
    <x v="0"/>
  </r>
  <r>
    <x v="0"/>
    <x v="146"/>
    <s v="000452053"/>
    <m/>
    <m/>
    <x v="0"/>
    <x v="0"/>
    <x v="0"/>
    <x v="0"/>
    <x v="0"/>
  </r>
  <r>
    <x v="2"/>
    <x v="147"/>
    <s v="000447982"/>
    <m/>
    <m/>
    <x v="0"/>
    <x v="0"/>
    <x v="0"/>
    <x v="0"/>
    <x v="0"/>
  </r>
  <r>
    <x v="2"/>
    <x v="148"/>
    <s v="000345323"/>
    <m/>
    <m/>
    <x v="0"/>
    <x v="0"/>
    <x v="0"/>
    <x v="0"/>
    <x v="0"/>
  </r>
  <r>
    <x v="0"/>
    <x v="149"/>
    <s v="000453354"/>
    <m/>
    <m/>
    <x v="0"/>
    <x v="0"/>
    <x v="0"/>
    <x v="0"/>
    <x v="0"/>
  </r>
  <r>
    <x v="0"/>
    <x v="150"/>
    <s v="000295035"/>
    <m/>
    <m/>
    <x v="0"/>
    <x v="0"/>
    <x v="0"/>
    <x v="0"/>
    <x v="0"/>
  </r>
  <r>
    <x v="0"/>
    <x v="151"/>
    <s v="000453661"/>
    <m/>
    <m/>
    <x v="0"/>
    <x v="0"/>
    <x v="0"/>
    <x v="0"/>
    <x v="0"/>
  </r>
  <r>
    <x v="0"/>
    <x v="152"/>
    <s v="000454492"/>
    <m/>
    <m/>
    <x v="0"/>
    <x v="0"/>
    <x v="0"/>
    <x v="0"/>
    <x v="0"/>
  </r>
  <r>
    <x v="0"/>
    <x v="153"/>
    <s v="000367271"/>
    <m/>
    <m/>
    <x v="0"/>
    <x v="0"/>
    <x v="0"/>
    <x v="0"/>
    <x v="0"/>
  </r>
  <r>
    <x v="0"/>
    <x v="154"/>
    <s v="000093359"/>
    <m/>
    <m/>
    <x v="0"/>
    <x v="0"/>
    <x v="0"/>
    <x v="0"/>
    <x v="0"/>
  </r>
  <r>
    <x v="1"/>
    <x v="155"/>
    <s v="000453188"/>
    <m/>
    <m/>
    <x v="0"/>
    <x v="0"/>
    <x v="0"/>
    <x v="0"/>
    <x v="0"/>
  </r>
  <r>
    <x v="1"/>
    <x v="156"/>
    <s v="Frankenfield, Richelle"/>
    <m/>
    <m/>
    <x v="0"/>
    <x v="0"/>
    <x v="0"/>
    <x v="0"/>
    <x v="0"/>
  </r>
  <r>
    <x v="1"/>
    <x v="157"/>
    <s v="000453188"/>
    <m/>
    <m/>
    <x v="0"/>
    <x v="0"/>
    <x v="0"/>
    <x v="0"/>
    <x v="0"/>
  </r>
  <r>
    <x v="0"/>
    <x v="158"/>
    <s v="000267103"/>
    <m/>
    <m/>
    <x v="0"/>
    <x v="0"/>
    <x v="0"/>
    <x v="0"/>
    <x v="0"/>
  </r>
  <r>
    <x v="0"/>
    <x v="159"/>
    <s v="000305437"/>
    <m/>
    <m/>
    <x v="0"/>
    <x v="0"/>
    <x v="0"/>
    <x v="0"/>
    <x v="0"/>
  </r>
  <r>
    <x v="2"/>
    <x v="160"/>
    <s v="000110598"/>
    <m/>
    <m/>
    <x v="0"/>
    <x v="0"/>
    <x v="0"/>
    <x v="0"/>
    <x v="0"/>
  </r>
  <r>
    <x v="2"/>
    <x v="160"/>
    <s v="000156757"/>
    <m/>
    <m/>
    <x v="0"/>
    <x v="0"/>
    <x v="0"/>
    <x v="0"/>
    <x v="0"/>
  </r>
  <r>
    <x v="0"/>
    <x v="161"/>
    <s v="000455865"/>
    <m/>
    <m/>
    <x v="0"/>
    <x v="0"/>
    <x v="0"/>
    <x v="0"/>
    <x v="0"/>
  </r>
  <r>
    <x v="1"/>
    <x v="162"/>
    <s v="000413396"/>
    <m/>
    <m/>
    <x v="0"/>
    <x v="0"/>
    <x v="0"/>
    <x v="0"/>
    <x v="0"/>
  </r>
  <r>
    <x v="2"/>
    <x v="163"/>
    <s v="000401076"/>
    <m/>
    <m/>
    <x v="0"/>
    <x v="0"/>
    <x v="0"/>
    <x v="0"/>
    <x v="0"/>
  </r>
  <r>
    <x v="0"/>
    <x v="164"/>
    <s v="000131200"/>
    <m/>
    <m/>
    <x v="0"/>
    <x v="0"/>
    <x v="0"/>
    <x v="0"/>
    <x v="0"/>
  </r>
  <r>
    <x v="0"/>
    <x v="165"/>
    <s v="000457496"/>
    <m/>
    <m/>
    <x v="0"/>
    <x v="0"/>
    <x v="0"/>
    <x v="0"/>
    <x v="0"/>
  </r>
  <r>
    <x v="0"/>
    <x v="166"/>
    <s v="000447980"/>
    <m/>
    <m/>
    <x v="0"/>
    <x v="0"/>
    <x v="0"/>
    <x v="0"/>
    <x v="0"/>
  </r>
  <r>
    <x v="0"/>
    <x v="167"/>
    <s v="000272483"/>
    <m/>
    <m/>
    <x v="0"/>
    <x v="0"/>
    <x v="0"/>
    <x v="0"/>
    <x v="0"/>
  </r>
  <r>
    <x v="0"/>
    <x v="168"/>
    <s v="000252391"/>
    <m/>
    <m/>
    <x v="0"/>
    <x v="0"/>
    <x v="0"/>
    <x v="0"/>
    <x v="0"/>
  </r>
  <r>
    <x v="2"/>
    <x v="169"/>
    <s v="000438229"/>
    <m/>
    <m/>
    <x v="0"/>
    <x v="0"/>
    <x v="0"/>
    <x v="0"/>
    <x v="0"/>
  </r>
  <r>
    <x v="1"/>
    <x v="170"/>
    <s v="000213947"/>
    <m/>
    <m/>
    <x v="0"/>
    <x v="0"/>
    <x v="0"/>
    <x v="0"/>
    <x v="0"/>
  </r>
  <r>
    <x v="0"/>
    <x v="171"/>
    <s v="000455615"/>
    <m/>
    <m/>
    <x v="0"/>
    <x v="0"/>
    <x v="0"/>
    <x v="0"/>
    <x v="0"/>
  </r>
  <r>
    <x v="2"/>
    <x v="172"/>
    <s v="000094521"/>
    <m/>
    <m/>
    <x v="0"/>
    <x v="0"/>
    <x v="0"/>
    <x v="0"/>
    <x v="0"/>
  </r>
  <r>
    <x v="2"/>
    <x v="173"/>
    <s v="000457087"/>
    <m/>
    <m/>
    <x v="0"/>
    <x v="0"/>
    <x v="0"/>
    <x v="0"/>
    <x v="0"/>
  </r>
  <r>
    <x v="0"/>
    <x v="174"/>
    <s v="000148949"/>
    <m/>
    <m/>
    <x v="0"/>
    <x v="0"/>
    <x v="0"/>
    <x v="0"/>
    <x v="0"/>
  </r>
  <r>
    <x v="1"/>
    <x v="175"/>
    <s v="000254129"/>
    <m/>
    <m/>
    <x v="0"/>
    <x v="0"/>
    <x v="0"/>
    <x v="0"/>
    <x v="0"/>
  </r>
  <r>
    <x v="1"/>
    <x v="176"/>
    <s v="000254129"/>
    <m/>
    <m/>
    <x v="0"/>
    <x v="0"/>
    <x v="0"/>
    <x v="0"/>
    <x v="0"/>
  </r>
  <r>
    <x v="0"/>
    <x v="176"/>
    <s v="000352019"/>
    <m/>
    <m/>
    <x v="0"/>
    <x v="0"/>
    <x v="0"/>
    <x v="0"/>
    <x v="0"/>
  </r>
  <r>
    <x v="0"/>
    <x v="176"/>
    <s v="000462234"/>
    <m/>
    <m/>
    <x v="0"/>
    <x v="0"/>
    <x v="0"/>
    <x v="0"/>
    <x v="0"/>
  </r>
  <r>
    <x v="2"/>
    <x v="177"/>
    <s v="000445441"/>
    <m/>
    <m/>
    <x v="0"/>
    <x v="0"/>
    <x v="0"/>
    <x v="0"/>
    <x v="0"/>
  </r>
  <r>
    <x v="2"/>
    <x v="177"/>
    <s v="000321152"/>
    <m/>
    <m/>
    <x v="0"/>
    <x v="0"/>
    <x v="0"/>
    <x v="0"/>
    <x v="0"/>
  </r>
  <r>
    <x v="2"/>
    <x v="178"/>
    <s v="000127449"/>
    <m/>
    <m/>
    <x v="0"/>
    <x v="0"/>
    <x v="0"/>
    <x v="0"/>
    <x v="0"/>
  </r>
  <r>
    <x v="0"/>
    <x v="179"/>
    <s v="000462312"/>
    <m/>
    <m/>
    <x v="0"/>
    <x v="0"/>
    <x v="0"/>
    <x v="0"/>
    <x v="0"/>
  </r>
  <r>
    <x v="2"/>
    <x v="180"/>
    <s v="000434189"/>
    <m/>
    <m/>
    <x v="0"/>
    <x v="0"/>
    <x v="0"/>
    <x v="0"/>
    <x v="0"/>
  </r>
  <r>
    <x v="0"/>
    <x v="181"/>
    <s v="000463929"/>
    <m/>
    <m/>
    <x v="0"/>
    <x v="0"/>
    <x v="0"/>
    <x v="0"/>
    <x v="0"/>
  </r>
  <r>
    <x v="0"/>
    <x v="182"/>
    <s v="000046039"/>
    <m/>
    <m/>
    <x v="0"/>
    <x v="0"/>
    <x v="0"/>
    <x v="0"/>
    <x v="0"/>
  </r>
  <r>
    <x v="2"/>
    <x v="183"/>
    <s v="000464571"/>
    <m/>
    <m/>
    <x v="0"/>
    <x v="0"/>
    <x v="0"/>
    <x v="0"/>
    <x v="0"/>
  </r>
  <r>
    <x v="0"/>
    <x v="183"/>
    <s v="000464571"/>
    <m/>
    <m/>
    <x v="0"/>
    <x v="0"/>
    <x v="0"/>
    <x v="0"/>
    <x v="0"/>
  </r>
  <r>
    <x v="0"/>
    <x v="184"/>
    <s v="000176486"/>
    <m/>
    <m/>
    <x v="0"/>
    <x v="0"/>
    <x v="0"/>
    <x v="0"/>
    <x v="0"/>
  </r>
  <r>
    <x v="2"/>
    <x v="185"/>
    <s v="000455865"/>
    <m/>
    <m/>
    <x v="0"/>
    <x v="0"/>
    <x v="0"/>
    <x v="0"/>
    <x v="0"/>
  </r>
  <r>
    <x v="0"/>
    <x v="186"/>
    <s v="000419321"/>
    <m/>
    <m/>
    <x v="0"/>
    <x v="0"/>
    <x v="0"/>
    <x v="0"/>
    <x v="0"/>
  </r>
  <r>
    <x v="0"/>
    <x v="187"/>
    <s v="000015704"/>
    <m/>
    <m/>
    <x v="0"/>
    <x v="0"/>
    <x v="0"/>
    <x v="0"/>
    <x v="0"/>
  </r>
  <r>
    <x v="0"/>
    <x v="187"/>
    <s v="000202108"/>
    <m/>
    <m/>
    <x v="0"/>
    <x v="0"/>
    <x v="0"/>
    <x v="0"/>
    <x v="0"/>
  </r>
  <r>
    <x v="0"/>
    <x v="188"/>
    <s v="000264415"/>
    <m/>
    <m/>
    <x v="0"/>
    <x v="0"/>
    <x v="0"/>
    <x v="0"/>
    <x v="0"/>
  </r>
  <r>
    <x v="0"/>
    <x v="189"/>
    <s v="000082233"/>
    <m/>
    <m/>
    <x v="0"/>
    <x v="0"/>
    <x v="0"/>
    <x v="0"/>
    <x v="0"/>
  </r>
  <r>
    <x v="0"/>
    <x v="190"/>
    <s v="000466534"/>
    <m/>
    <m/>
    <x v="0"/>
    <x v="0"/>
    <x v="0"/>
    <x v="0"/>
    <x v="0"/>
  </r>
  <r>
    <x v="0"/>
    <x v="191"/>
    <s v="000256330"/>
    <m/>
    <m/>
    <x v="0"/>
    <x v="0"/>
    <x v="0"/>
    <x v="0"/>
    <x v="0"/>
  </r>
  <r>
    <x v="0"/>
    <x v="192"/>
    <s v="000103813"/>
    <m/>
    <m/>
    <x v="0"/>
    <x v="0"/>
    <x v="0"/>
    <x v="0"/>
    <x v="0"/>
  </r>
  <r>
    <x v="0"/>
    <x v="193"/>
    <s v="000455865"/>
    <m/>
    <m/>
    <x v="0"/>
    <x v="0"/>
    <x v="0"/>
    <x v="0"/>
    <x v="0"/>
  </r>
  <r>
    <x v="1"/>
    <x v="194"/>
    <s v="000467620"/>
    <m/>
    <m/>
    <x v="0"/>
    <x v="0"/>
    <x v="0"/>
    <x v="0"/>
    <x v="0"/>
  </r>
  <r>
    <x v="0"/>
    <x v="195"/>
    <s v="000466390"/>
    <m/>
    <m/>
    <x v="0"/>
    <x v="0"/>
    <x v="0"/>
    <x v="0"/>
    <x v="0"/>
  </r>
  <r>
    <x v="1"/>
    <x v="196"/>
    <s v="000235253"/>
    <m/>
    <m/>
    <x v="0"/>
    <x v="0"/>
    <x v="0"/>
    <x v="0"/>
    <x v="0"/>
  </r>
  <r>
    <x v="0"/>
    <x v="197"/>
    <s v="000210757"/>
    <m/>
    <m/>
    <x v="0"/>
    <x v="0"/>
    <x v="0"/>
    <x v="0"/>
    <x v="0"/>
  </r>
  <r>
    <x v="0"/>
    <x v="198"/>
    <s v="000102608"/>
    <m/>
    <m/>
    <x v="0"/>
    <x v="0"/>
    <x v="0"/>
    <x v="0"/>
    <x v="0"/>
  </r>
  <r>
    <x v="0"/>
    <x v="199"/>
    <s v="000186706"/>
    <m/>
    <m/>
    <x v="0"/>
    <x v="0"/>
    <x v="0"/>
    <x v="0"/>
    <x v="0"/>
  </r>
  <r>
    <x v="0"/>
    <x v="200"/>
    <s v="000438163"/>
    <m/>
    <m/>
    <x v="0"/>
    <x v="0"/>
    <x v="0"/>
    <x v="0"/>
    <x v="0"/>
  </r>
  <r>
    <x v="1"/>
    <x v="201"/>
    <s v="000085576"/>
    <m/>
    <m/>
    <x v="0"/>
    <x v="0"/>
    <x v="0"/>
    <x v="0"/>
    <x v="0"/>
  </r>
  <r>
    <x v="0"/>
    <x v="202"/>
    <s v="000103813"/>
    <m/>
    <m/>
    <x v="0"/>
    <x v="0"/>
    <x v="0"/>
    <x v="0"/>
    <x v="0"/>
  </r>
  <r>
    <x v="0"/>
    <x v="203"/>
    <s v="000453661"/>
    <m/>
    <m/>
    <x v="0"/>
    <x v="0"/>
    <x v="0"/>
    <x v="0"/>
    <x v="0"/>
  </r>
  <r>
    <x v="0"/>
    <x v="204"/>
    <s v="000445595"/>
    <m/>
    <m/>
    <x v="0"/>
    <x v="0"/>
    <x v="0"/>
    <x v="0"/>
    <x v="0"/>
  </r>
  <r>
    <x v="0"/>
    <x v="205"/>
    <s v="000445595"/>
    <m/>
    <m/>
    <x v="0"/>
    <x v="0"/>
    <x v="0"/>
    <x v="0"/>
    <x v="0"/>
  </r>
  <r>
    <x v="2"/>
    <x v="206"/>
    <s v="000093736"/>
    <m/>
    <m/>
    <x v="0"/>
    <x v="0"/>
    <x v="0"/>
    <x v="0"/>
    <x v="0"/>
  </r>
  <r>
    <x v="1"/>
    <x v="207"/>
    <s v="000166934"/>
    <m/>
    <m/>
    <x v="0"/>
    <x v="0"/>
    <x v="0"/>
    <x v="0"/>
    <x v="0"/>
  </r>
  <r>
    <x v="2"/>
    <x v="208"/>
    <s v="000419658"/>
    <m/>
    <m/>
    <x v="0"/>
    <x v="0"/>
    <x v="0"/>
    <x v="0"/>
    <x v="0"/>
  </r>
  <r>
    <x v="2"/>
    <x v="209"/>
    <s v="000232963"/>
    <m/>
    <m/>
    <x v="0"/>
    <x v="0"/>
    <x v="0"/>
    <x v="0"/>
    <x v="0"/>
  </r>
  <r>
    <x v="2"/>
    <x v="210"/>
    <s v="000320107"/>
    <m/>
    <m/>
    <x v="0"/>
    <x v="0"/>
    <x v="0"/>
    <x v="0"/>
    <x v="0"/>
  </r>
  <r>
    <x v="2"/>
    <x v="211"/>
    <s v="000470041"/>
    <m/>
    <m/>
    <x v="0"/>
    <x v="0"/>
    <x v="0"/>
    <x v="0"/>
    <x v="0"/>
  </r>
  <r>
    <x v="2"/>
    <x v="212"/>
    <s v="000434189"/>
    <m/>
    <m/>
    <x v="0"/>
    <x v="0"/>
    <x v="0"/>
    <x v="0"/>
    <x v="0"/>
  </r>
  <r>
    <x v="0"/>
    <x v="213"/>
    <s v="000311461"/>
    <m/>
    <m/>
    <x v="0"/>
    <x v="0"/>
    <x v="0"/>
    <x v="0"/>
    <x v="0"/>
  </r>
  <r>
    <x v="2"/>
    <x v="214"/>
    <s v="000073783"/>
    <m/>
    <m/>
    <x v="0"/>
    <x v="0"/>
    <x v="0"/>
    <x v="0"/>
    <x v="0"/>
  </r>
  <r>
    <x v="1"/>
    <x v="215"/>
    <s v="000390963"/>
    <m/>
    <m/>
    <x v="0"/>
    <x v="0"/>
    <x v="0"/>
    <x v="0"/>
    <x v="0"/>
  </r>
  <r>
    <x v="0"/>
    <x v="216"/>
    <s v="000476310"/>
    <m/>
    <m/>
    <x v="0"/>
    <x v="0"/>
    <x v="0"/>
    <x v="0"/>
    <x v="0"/>
  </r>
  <r>
    <x v="2"/>
    <x v="217"/>
    <s v="000005900"/>
    <m/>
    <m/>
    <x v="0"/>
    <x v="0"/>
    <x v="0"/>
    <x v="0"/>
    <x v="0"/>
  </r>
  <r>
    <x v="1"/>
    <x v="218"/>
    <s v="000390963"/>
    <m/>
    <m/>
    <x v="0"/>
    <x v="0"/>
    <x v="0"/>
    <x v="0"/>
    <x v="0"/>
  </r>
  <r>
    <x v="0"/>
    <x v="219"/>
    <s v="000152358"/>
    <s v="BB"/>
    <m/>
    <x v="1"/>
    <x v="0"/>
    <x v="0"/>
    <x v="0"/>
    <x v="0"/>
  </r>
  <r>
    <x v="2"/>
    <x v="220"/>
    <s v="000237627"/>
    <m/>
    <m/>
    <x v="0"/>
    <x v="0"/>
    <x v="0"/>
    <x v="0"/>
    <x v="0"/>
  </r>
  <r>
    <x v="1"/>
    <x v="221"/>
    <s v="000237336"/>
    <m/>
    <m/>
    <x v="0"/>
    <x v="0"/>
    <x v="0"/>
    <x v="0"/>
    <x v="0"/>
  </r>
  <r>
    <x v="0"/>
    <x v="222"/>
    <s v="000462312"/>
    <m/>
    <m/>
    <x v="0"/>
    <x v="0"/>
    <x v="0"/>
    <x v="0"/>
    <x v="0"/>
  </r>
  <r>
    <x v="2"/>
    <x v="223"/>
    <s v="000471811"/>
    <m/>
    <m/>
    <x v="0"/>
    <x v="0"/>
    <x v="0"/>
    <x v="0"/>
    <x v="0"/>
  </r>
  <r>
    <x v="1"/>
    <x v="224"/>
    <s v="000174788"/>
    <m/>
    <m/>
    <x v="0"/>
    <x v="0"/>
    <x v="0"/>
    <x v="0"/>
    <x v="0"/>
  </r>
  <r>
    <x v="0"/>
    <x v="225"/>
    <s v="000186706"/>
    <m/>
    <m/>
    <x v="0"/>
    <x v="0"/>
    <x v="0"/>
    <x v="0"/>
    <x v="0"/>
  </r>
  <r>
    <x v="1"/>
    <x v="225"/>
    <s v="000306640"/>
    <m/>
    <m/>
    <x v="0"/>
    <x v="0"/>
    <x v="0"/>
    <x v="0"/>
    <x v="0"/>
  </r>
  <r>
    <x v="0"/>
    <x v="226"/>
    <s v="000210757"/>
    <m/>
    <m/>
    <x v="0"/>
    <x v="0"/>
    <x v="0"/>
    <x v="0"/>
    <x v="0"/>
  </r>
  <r>
    <x v="2"/>
    <x v="227"/>
    <s v="000464763"/>
    <m/>
    <m/>
    <x v="0"/>
    <x v="0"/>
    <x v="0"/>
    <x v="0"/>
    <x v="0"/>
  </r>
  <r>
    <x v="1"/>
    <x v="228"/>
    <s v="000306640"/>
    <m/>
    <m/>
    <x v="0"/>
    <x v="0"/>
    <x v="0"/>
    <x v="0"/>
    <x v="0"/>
  </r>
  <r>
    <x v="0"/>
    <x v="229"/>
    <s v="000387554"/>
    <m/>
    <m/>
    <x v="0"/>
    <x v="0"/>
    <x v="0"/>
    <x v="0"/>
    <x v="0"/>
  </r>
  <r>
    <x v="0"/>
    <x v="230"/>
    <s v="000073354"/>
    <m/>
    <m/>
    <x v="0"/>
    <x v="0"/>
    <x v="0"/>
    <x v="0"/>
    <x v="0"/>
  </r>
  <r>
    <x v="3"/>
    <x v="231"/>
    <s v="000484290"/>
    <m/>
    <m/>
    <x v="0"/>
    <x v="0"/>
    <x v="0"/>
    <x v="0"/>
    <x v="0"/>
  </r>
  <r>
    <x v="1"/>
    <x v="232"/>
    <s v="000360243"/>
    <m/>
    <m/>
    <x v="0"/>
    <x v="0"/>
    <x v="0"/>
    <x v="0"/>
    <x v="0"/>
  </r>
  <r>
    <x v="3"/>
    <x v="232"/>
    <s v="000484290"/>
    <m/>
    <m/>
    <x v="0"/>
    <x v="0"/>
    <x v="0"/>
    <x v="0"/>
    <x v="0"/>
  </r>
  <r>
    <x v="1"/>
    <x v="233"/>
    <s v="000360243"/>
    <m/>
    <m/>
    <x v="0"/>
    <x v="0"/>
    <x v="0"/>
    <x v="0"/>
    <x v="0"/>
  </r>
  <r>
    <x v="0"/>
    <x v="233"/>
    <s v="000477902"/>
    <m/>
    <m/>
    <x v="0"/>
    <x v="0"/>
    <x v="0"/>
    <x v="0"/>
    <x v="0"/>
  </r>
  <r>
    <x v="2"/>
    <x v="234"/>
    <s v="000326755"/>
    <m/>
    <m/>
    <x v="0"/>
    <x v="0"/>
    <x v="0"/>
    <x v="0"/>
    <x v="0"/>
  </r>
  <r>
    <x v="3"/>
    <x v="235"/>
    <s v="000484290"/>
    <m/>
    <m/>
    <x v="0"/>
    <x v="0"/>
    <x v="0"/>
    <x v="0"/>
    <x v="0"/>
  </r>
  <r>
    <x v="0"/>
    <x v="236"/>
    <s v="000487921"/>
    <m/>
    <m/>
    <x v="0"/>
    <x v="0"/>
    <x v="0"/>
    <x v="0"/>
    <x v="0"/>
  </r>
  <r>
    <x v="3"/>
    <x v="236"/>
    <s v="000484290"/>
    <m/>
    <m/>
    <x v="0"/>
    <x v="0"/>
    <x v="0"/>
    <x v="0"/>
    <x v="0"/>
  </r>
  <r>
    <x v="0"/>
    <x v="237"/>
    <s v="000488311"/>
    <m/>
    <m/>
    <x v="0"/>
    <x v="0"/>
    <x v="0"/>
    <x v="0"/>
    <x v="0"/>
  </r>
  <r>
    <x v="0"/>
    <x v="238"/>
    <s v="000445595"/>
    <m/>
    <m/>
    <x v="0"/>
    <x v="0"/>
    <x v="0"/>
    <x v="0"/>
    <x v="0"/>
  </r>
  <r>
    <x v="2"/>
    <x v="239"/>
    <s v="000429553"/>
    <m/>
    <m/>
    <x v="0"/>
    <x v="0"/>
    <x v="0"/>
    <x v="0"/>
    <x v="0"/>
  </r>
  <r>
    <x v="3"/>
    <x v="240"/>
    <s v="000484290"/>
    <m/>
    <m/>
    <x v="0"/>
    <x v="0"/>
    <x v="0"/>
    <x v="0"/>
    <x v="0"/>
  </r>
  <r>
    <x v="0"/>
    <x v="241"/>
    <s v="000485041"/>
    <m/>
    <m/>
    <x v="0"/>
    <x v="0"/>
    <x v="0"/>
    <x v="0"/>
    <x v="0"/>
  </r>
  <r>
    <x v="3"/>
    <x v="242"/>
    <s v="000484290"/>
    <m/>
    <m/>
    <x v="0"/>
    <x v="0"/>
    <x v="0"/>
    <x v="0"/>
    <x v="0"/>
  </r>
  <r>
    <x v="2"/>
    <x v="243"/>
    <s v="000417229"/>
    <m/>
    <m/>
    <x v="0"/>
    <x v="0"/>
    <x v="0"/>
    <x v="0"/>
    <x v="0"/>
  </r>
  <r>
    <x v="3"/>
    <x v="244"/>
    <s v="000484290"/>
    <m/>
    <m/>
    <x v="0"/>
    <x v="0"/>
    <x v="0"/>
    <x v="0"/>
    <x v="0"/>
  </r>
  <r>
    <x v="2"/>
    <x v="245"/>
    <s v="000100532"/>
    <m/>
    <m/>
    <x v="0"/>
    <x v="0"/>
    <x v="0"/>
    <x v="0"/>
    <x v="0"/>
  </r>
  <r>
    <x v="2"/>
    <x v="246"/>
    <s v="000319679"/>
    <m/>
    <m/>
    <x v="0"/>
    <x v="0"/>
    <x v="0"/>
    <x v="0"/>
    <x v="0"/>
  </r>
  <r>
    <x v="2"/>
    <x v="247"/>
    <s v="000480165"/>
    <m/>
    <m/>
    <x v="0"/>
    <x v="0"/>
    <x v="0"/>
    <x v="0"/>
    <x v="0"/>
  </r>
  <r>
    <x v="0"/>
    <x v="248"/>
    <s v="000490540"/>
    <m/>
    <m/>
    <x v="0"/>
    <x v="0"/>
    <x v="0"/>
    <x v="0"/>
    <x v="0"/>
  </r>
  <r>
    <x v="3"/>
    <x v="249"/>
    <s v="000403493"/>
    <m/>
    <m/>
    <x v="0"/>
    <x v="0"/>
    <x v="0"/>
    <x v="0"/>
    <x v="0"/>
  </r>
  <r>
    <x v="0"/>
    <x v="250"/>
    <s v="000313543"/>
    <m/>
    <m/>
    <x v="0"/>
    <x v="0"/>
    <x v="0"/>
    <x v="0"/>
    <x v="0"/>
  </r>
  <r>
    <x v="3"/>
    <x v="251"/>
    <s v="000403493"/>
    <m/>
    <m/>
    <x v="0"/>
    <x v="0"/>
    <x v="0"/>
    <x v="0"/>
    <x v="0"/>
  </r>
  <r>
    <x v="0"/>
    <x v="252"/>
    <s v="000131200"/>
    <m/>
    <m/>
    <x v="0"/>
    <x v="0"/>
    <x v="0"/>
    <x v="0"/>
    <x v="0"/>
  </r>
  <r>
    <x v="1"/>
    <x v="253"/>
    <s v="000240718"/>
    <m/>
    <s v="JS"/>
    <x v="0"/>
    <x v="0"/>
    <x v="0"/>
    <x v="0"/>
    <x v="1"/>
  </r>
  <r>
    <x v="1"/>
    <x v="254"/>
    <s v="000240718"/>
    <m/>
    <s v="JS"/>
    <x v="0"/>
    <x v="0"/>
    <x v="0"/>
    <x v="0"/>
    <x v="1"/>
  </r>
  <r>
    <x v="0"/>
    <x v="255"/>
    <s v="000022006"/>
    <m/>
    <m/>
    <x v="0"/>
    <x v="0"/>
    <x v="0"/>
    <x v="0"/>
    <x v="0"/>
  </r>
  <r>
    <x v="1"/>
    <x v="255"/>
    <s v="000491985"/>
    <m/>
    <s v="JS"/>
    <x v="0"/>
    <x v="0"/>
    <x v="0"/>
    <x v="0"/>
    <x v="1"/>
  </r>
  <r>
    <x v="3"/>
    <x v="256"/>
    <s v="000403493"/>
    <m/>
    <m/>
    <x v="0"/>
    <x v="0"/>
    <x v="0"/>
    <x v="0"/>
    <x v="0"/>
  </r>
  <r>
    <x v="0"/>
    <x v="257"/>
    <s v="000500853"/>
    <m/>
    <m/>
    <x v="0"/>
    <x v="0"/>
    <x v="0"/>
    <x v="0"/>
    <x v="0"/>
  </r>
  <r>
    <x v="3"/>
    <x v="258"/>
    <s v="000403493"/>
    <m/>
    <m/>
    <x v="0"/>
    <x v="0"/>
    <x v="0"/>
    <x v="0"/>
    <x v="0"/>
  </r>
  <r>
    <x v="1"/>
    <x v="259"/>
    <s v="000409512"/>
    <m/>
    <m/>
    <x v="0"/>
    <x v="0"/>
    <x v="0"/>
    <x v="0"/>
    <x v="0"/>
  </r>
  <r>
    <x v="0"/>
    <x v="260"/>
    <s v="000400476"/>
    <m/>
    <m/>
    <x v="0"/>
    <x v="0"/>
    <x v="0"/>
    <x v="0"/>
    <x v="0"/>
  </r>
  <r>
    <x v="3"/>
    <x v="261"/>
    <s v="000403493"/>
    <m/>
    <m/>
    <x v="0"/>
    <x v="0"/>
    <x v="0"/>
    <x v="0"/>
    <x v="0"/>
  </r>
  <r>
    <x v="3"/>
    <x v="262"/>
    <s v="000403493"/>
    <m/>
    <m/>
    <x v="0"/>
    <x v="0"/>
    <x v="0"/>
    <x v="0"/>
    <x v="0"/>
  </r>
  <r>
    <x v="0"/>
    <x v="262"/>
    <s v="Scott, Jeff"/>
    <m/>
    <m/>
    <x v="0"/>
    <x v="0"/>
    <x v="0"/>
    <x v="0"/>
    <x v="0"/>
  </r>
  <r>
    <x v="2"/>
    <x v="263"/>
    <s v="000503297"/>
    <m/>
    <m/>
    <x v="0"/>
    <x v="0"/>
    <x v="0"/>
    <x v="0"/>
    <x v="0"/>
  </r>
  <r>
    <x v="2"/>
    <x v="263"/>
    <s v="000233517"/>
    <m/>
    <m/>
    <x v="0"/>
    <x v="0"/>
    <x v="0"/>
    <x v="0"/>
    <x v="0"/>
  </r>
  <r>
    <x v="1"/>
    <x v="264"/>
    <s v="000222970"/>
    <m/>
    <m/>
    <x v="0"/>
    <x v="0"/>
    <x v="0"/>
    <x v="0"/>
    <x v="0"/>
  </r>
  <r>
    <x v="2"/>
    <x v="265"/>
    <s v="000202276"/>
    <m/>
    <m/>
    <x v="0"/>
    <x v="0"/>
    <x v="0"/>
    <x v="0"/>
    <x v="0"/>
  </r>
  <r>
    <x v="0"/>
    <x v="266"/>
    <s v="000507484"/>
    <m/>
    <m/>
    <x v="0"/>
    <x v="0"/>
    <x v="0"/>
    <x v="0"/>
    <x v="0"/>
  </r>
  <r>
    <x v="0"/>
    <x v="267"/>
    <s v="000110324"/>
    <m/>
    <m/>
    <x v="0"/>
    <x v="0"/>
    <x v="0"/>
    <x v="0"/>
    <x v="0"/>
  </r>
  <r>
    <x v="0"/>
    <x v="268"/>
    <s v="000319679"/>
    <m/>
    <m/>
    <x v="0"/>
    <x v="0"/>
    <x v="0"/>
    <x v="0"/>
    <x v="0"/>
  </r>
  <r>
    <x v="1"/>
    <x v="268"/>
    <s v="000136967"/>
    <m/>
    <m/>
    <x v="0"/>
    <x v="0"/>
    <x v="0"/>
    <x v="0"/>
    <x v="0"/>
  </r>
  <r>
    <x v="0"/>
    <x v="269"/>
    <s v="000233719"/>
    <m/>
    <m/>
    <x v="0"/>
    <x v="0"/>
    <x v="0"/>
    <x v="0"/>
    <x v="0"/>
  </r>
  <r>
    <x v="1"/>
    <x v="270"/>
    <s v="000361036"/>
    <m/>
    <m/>
    <x v="0"/>
    <x v="0"/>
    <x v="0"/>
    <x v="0"/>
    <x v="0"/>
  </r>
  <r>
    <x v="1"/>
    <x v="271"/>
    <s v="000361036"/>
    <m/>
    <m/>
    <x v="0"/>
    <x v="0"/>
    <x v="0"/>
    <x v="0"/>
    <x v="0"/>
  </r>
  <r>
    <x v="0"/>
    <x v="272"/>
    <s v="000480165"/>
    <m/>
    <m/>
    <x v="0"/>
    <x v="0"/>
    <x v="0"/>
    <x v="0"/>
    <x v="0"/>
  </r>
  <r>
    <x v="0"/>
    <x v="273"/>
    <s v="000221970"/>
    <m/>
    <m/>
    <x v="0"/>
    <x v="0"/>
    <x v="0"/>
    <x v="0"/>
    <x v="0"/>
  </r>
  <r>
    <x v="0"/>
    <x v="274"/>
    <s v="000469847"/>
    <m/>
    <m/>
    <x v="0"/>
    <x v="0"/>
    <x v="0"/>
    <x v="0"/>
    <x v="0"/>
  </r>
  <r>
    <x v="1"/>
    <x v="275"/>
    <s v="000189150"/>
    <m/>
    <m/>
    <x v="0"/>
    <x v="0"/>
    <x v="0"/>
    <x v="0"/>
    <x v="0"/>
  </r>
  <r>
    <x v="1"/>
    <x v="276"/>
    <s v="000299195"/>
    <m/>
    <m/>
    <x v="0"/>
    <x v="0"/>
    <x v="0"/>
    <x v="0"/>
    <x v="0"/>
  </r>
  <r>
    <x v="2"/>
    <x v="276"/>
    <s v="000278904"/>
    <m/>
    <m/>
    <x v="0"/>
    <x v="0"/>
    <x v="0"/>
    <x v="0"/>
    <x v="0"/>
  </r>
  <r>
    <x v="1"/>
    <x v="277"/>
    <s v="000189150"/>
    <m/>
    <m/>
    <x v="0"/>
    <x v="0"/>
    <x v="0"/>
    <x v="0"/>
    <x v="0"/>
  </r>
  <r>
    <x v="0"/>
    <x v="278"/>
    <s v="000483928"/>
    <m/>
    <m/>
    <x v="0"/>
    <x v="0"/>
    <x v="0"/>
    <x v="0"/>
    <x v="0"/>
  </r>
  <r>
    <x v="1"/>
    <x v="279"/>
    <s v="000299195"/>
    <m/>
    <m/>
    <x v="0"/>
    <x v="0"/>
    <x v="0"/>
    <x v="0"/>
    <x v="0"/>
  </r>
  <r>
    <x v="0"/>
    <x v="280"/>
    <s v="000383260"/>
    <m/>
    <m/>
    <x v="0"/>
    <x v="0"/>
    <x v="0"/>
    <x v="0"/>
    <x v="0"/>
  </r>
  <r>
    <x v="0"/>
    <x v="281"/>
    <s v="000004176"/>
    <m/>
    <m/>
    <x v="0"/>
    <x v="0"/>
    <x v="0"/>
    <x v="0"/>
    <x v="0"/>
  </r>
  <r>
    <x v="1"/>
    <x v="282"/>
    <s v="000016043"/>
    <m/>
    <m/>
    <x v="0"/>
    <x v="0"/>
    <x v="0"/>
    <x v="0"/>
    <x v="0"/>
  </r>
  <r>
    <x v="1"/>
    <x v="283"/>
    <s v="000016043"/>
    <m/>
    <m/>
    <x v="0"/>
    <x v="0"/>
    <x v="0"/>
    <x v="0"/>
    <x v="0"/>
  </r>
  <r>
    <x v="1"/>
    <x v="284"/>
    <s v="000453034"/>
    <m/>
    <s v="JS"/>
    <x v="0"/>
    <x v="0"/>
    <x v="0"/>
    <x v="0"/>
    <x v="1"/>
  </r>
  <r>
    <x v="3"/>
    <x v="285"/>
    <s v="000520759"/>
    <m/>
    <m/>
    <x v="0"/>
    <x v="0"/>
    <x v="0"/>
    <x v="0"/>
    <x v="0"/>
  </r>
  <r>
    <x v="1"/>
    <x v="286"/>
    <s v="000352066"/>
    <m/>
    <m/>
    <x v="0"/>
    <x v="0"/>
    <x v="0"/>
    <x v="0"/>
    <x v="0"/>
  </r>
  <r>
    <x v="0"/>
    <x v="287"/>
    <s v="000493253"/>
    <m/>
    <m/>
    <x v="0"/>
    <x v="0"/>
    <x v="0"/>
    <x v="0"/>
    <x v="0"/>
  </r>
  <r>
    <x v="3"/>
    <x v="287"/>
    <s v="000520759"/>
    <m/>
    <m/>
    <x v="0"/>
    <x v="0"/>
    <x v="0"/>
    <x v="0"/>
    <x v="0"/>
  </r>
  <r>
    <x v="1"/>
    <x v="288"/>
    <s v="000352066"/>
    <m/>
    <m/>
    <x v="0"/>
    <x v="0"/>
    <x v="0"/>
    <x v="0"/>
    <x v="0"/>
  </r>
  <r>
    <x v="3"/>
    <x v="289"/>
    <s v="000520759"/>
    <m/>
    <m/>
    <x v="0"/>
    <x v="0"/>
    <x v="0"/>
    <x v="0"/>
    <x v="0"/>
  </r>
  <r>
    <x v="3"/>
    <x v="289"/>
    <s v="000523390"/>
    <m/>
    <m/>
    <x v="0"/>
    <x v="0"/>
    <x v="0"/>
    <x v="0"/>
    <x v="0"/>
  </r>
  <r>
    <x v="1"/>
    <x v="290"/>
    <s v="000449401"/>
    <m/>
    <s v="JS"/>
    <x v="0"/>
    <x v="0"/>
    <x v="0"/>
    <x v="0"/>
    <x v="1"/>
  </r>
  <r>
    <x v="0"/>
    <x v="291"/>
    <s v="000393006"/>
    <m/>
    <m/>
    <x v="0"/>
    <x v="0"/>
    <x v="0"/>
    <x v="0"/>
    <x v="0"/>
  </r>
  <r>
    <x v="0"/>
    <x v="292"/>
    <s v="000490308"/>
    <m/>
    <m/>
    <x v="0"/>
    <x v="0"/>
    <x v="0"/>
    <x v="0"/>
    <x v="0"/>
  </r>
  <r>
    <x v="3"/>
    <x v="293"/>
    <s v="000520759"/>
    <m/>
    <m/>
    <x v="0"/>
    <x v="0"/>
    <x v="0"/>
    <x v="0"/>
    <x v="0"/>
  </r>
  <r>
    <x v="3"/>
    <x v="293"/>
    <s v="000523390"/>
    <m/>
    <m/>
    <x v="0"/>
    <x v="0"/>
    <x v="0"/>
    <x v="0"/>
    <x v="0"/>
  </r>
  <r>
    <x v="3"/>
    <x v="294"/>
    <s v="000520759"/>
    <m/>
    <m/>
    <x v="0"/>
    <x v="0"/>
    <x v="0"/>
    <x v="0"/>
    <x v="0"/>
  </r>
  <r>
    <x v="2"/>
    <x v="295"/>
    <s v="000307131"/>
    <m/>
    <m/>
    <x v="0"/>
    <x v="0"/>
    <x v="0"/>
    <x v="0"/>
    <x v="0"/>
  </r>
  <r>
    <x v="3"/>
    <x v="296"/>
    <s v="000523390"/>
    <m/>
    <m/>
    <x v="0"/>
    <x v="0"/>
    <x v="0"/>
    <x v="0"/>
    <x v="0"/>
  </r>
  <r>
    <x v="0"/>
    <x v="297"/>
    <s v="000433861"/>
    <m/>
    <m/>
    <x v="0"/>
    <x v="0"/>
    <x v="0"/>
    <x v="0"/>
    <x v="0"/>
  </r>
  <r>
    <x v="1"/>
    <x v="298"/>
    <s v="Hooks, Linda"/>
    <m/>
    <m/>
    <x v="0"/>
    <x v="0"/>
    <x v="0"/>
    <x v="0"/>
    <x v="0"/>
  </r>
  <r>
    <x v="1"/>
    <x v="299"/>
    <s v="000101511"/>
    <m/>
    <m/>
    <x v="0"/>
    <x v="0"/>
    <x v="0"/>
    <x v="0"/>
    <x v="0"/>
  </r>
  <r>
    <x v="3"/>
    <x v="300"/>
    <s v="000523390"/>
    <m/>
    <m/>
    <x v="0"/>
    <x v="0"/>
    <x v="0"/>
    <x v="0"/>
    <x v="0"/>
  </r>
  <r>
    <x v="1"/>
    <x v="301"/>
    <s v="000101511"/>
    <m/>
    <m/>
    <x v="0"/>
    <x v="0"/>
    <x v="0"/>
    <x v="0"/>
    <x v="0"/>
  </r>
  <r>
    <x v="1"/>
    <x v="302"/>
    <s v="000204763"/>
    <m/>
    <m/>
    <x v="0"/>
    <x v="0"/>
    <x v="0"/>
    <x v="0"/>
    <x v="0"/>
  </r>
  <r>
    <x v="0"/>
    <x v="303"/>
    <s v="000527216"/>
    <m/>
    <m/>
    <x v="0"/>
    <x v="0"/>
    <x v="0"/>
    <x v="0"/>
    <x v="0"/>
  </r>
  <r>
    <x v="3"/>
    <x v="304"/>
    <s v="000523390"/>
    <m/>
    <m/>
    <x v="0"/>
    <x v="0"/>
    <x v="0"/>
    <x v="0"/>
    <x v="0"/>
  </r>
  <r>
    <x v="1"/>
    <x v="305"/>
    <s v="000204763"/>
    <m/>
    <m/>
    <x v="0"/>
    <x v="0"/>
    <x v="0"/>
    <x v="0"/>
    <x v="0"/>
  </r>
  <r>
    <x v="3"/>
    <x v="306"/>
    <s v="000472714"/>
    <m/>
    <m/>
    <x v="0"/>
    <x v="0"/>
    <x v="0"/>
    <x v="0"/>
    <x v="0"/>
  </r>
  <r>
    <x v="3"/>
    <x v="307"/>
    <s v="000523390"/>
    <m/>
    <m/>
    <x v="0"/>
    <x v="0"/>
    <x v="0"/>
    <x v="0"/>
    <x v="0"/>
  </r>
  <r>
    <x v="3"/>
    <x v="308"/>
    <s v="000523390"/>
    <m/>
    <m/>
    <x v="0"/>
    <x v="0"/>
    <x v="0"/>
    <x v="0"/>
    <x v="0"/>
  </r>
  <r>
    <x v="3"/>
    <x v="309"/>
    <s v="000068062"/>
    <m/>
    <m/>
    <x v="0"/>
    <x v="0"/>
    <x v="0"/>
    <x v="0"/>
    <x v="0"/>
  </r>
  <r>
    <x v="3"/>
    <x v="310"/>
    <s v="000523390"/>
    <m/>
    <m/>
    <x v="0"/>
    <x v="0"/>
    <x v="0"/>
    <x v="0"/>
    <x v="0"/>
  </r>
  <r>
    <x v="3"/>
    <x v="311"/>
    <s v="000068062"/>
    <m/>
    <m/>
    <x v="0"/>
    <x v="0"/>
    <x v="0"/>
    <x v="0"/>
    <x v="0"/>
  </r>
  <r>
    <x v="1"/>
    <x v="312"/>
    <s v="000088234"/>
    <m/>
    <m/>
    <x v="0"/>
    <x v="0"/>
    <x v="0"/>
    <x v="0"/>
    <x v="0"/>
  </r>
  <r>
    <x v="1"/>
    <x v="313"/>
    <s v="000256709"/>
    <m/>
    <m/>
    <x v="0"/>
    <x v="0"/>
    <x v="0"/>
    <x v="0"/>
    <x v="0"/>
  </r>
  <r>
    <x v="3"/>
    <x v="314"/>
    <s v="000068062"/>
    <m/>
    <m/>
    <x v="0"/>
    <x v="0"/>
    <x v="0"/>
    <x v="0"/>
    <x v="0"/>
  </r>
  <r>
    <x v="0"/>
    <x v="315"/>
    <s v="000380650"/>
    <m/>
    <m/>
    <x v="0"/>
    <x v="0"/>
    <x v="0"/>
    <x v="0"/>
    <x v="0"/>
  </r>
  <r>
    <x v="2"/>
    <x v="316"/>
    <s v="000424080"/>
    <m/>
    <m/>
    <x v="0"/>
    <x v="0"/>
    <x v="0"/>
    <x v="0"/>
    <x v="0"/>
  </r>
  <r>
    <x v="3"/>
    <x v="317"/>
    <s v="000068062"/>
    <m/>
    <m/>
    <x v="0"/>
    <x v="0"/>
    <x v="0"/>
    <x v="0"/>
    <x v="0"/>
  </r>
  <r>
    <x v="0"/>
    <x v="318"/>
    <s v="000532463"/>
    <m/>
    <m/>
    <x v="0"/>
    <x v="0"/>
    <x v="0"/>
    <x v="0"/>
    <x v="0"/>
  </r>
  <r>
    <x v="3"/>
    <x v="319"/>
    <s v="000523390"/>
    <m/>
    <m/>
    <x v="0"/>
    <x v="0"/>
    <x v="0"/>
    <x v="0"/>
    <x v="0"/>
  </r>
  <r>
    <x v="3"/>
    <x v="320"/>
    <s v="000068062"/>
    <m/>
    <m/>
    <x v="0"/>
    <x v="0"/>
    <x v="0"/>
    <x v="0"/>
    <x v="0"/>
  </r>
  <r>
    <x v="3"/>
    <x v="321"/>
    <s v="000068062"/>
    <m/>
    <m/>
    <x v="0"/>
    <x v="0"/>
    <x v="0"/>
    <x v="0"/>
    <x v="0"/>
  </r>
  <r>
    <x v="3"/>
    <x v="322"/>
    <s v="000523390"/>
    <m/>
    <m/>
    <x v="0"/>
    <x v="0"/>
    <x v="0"/>
    <x v="0"/>
    <x v="0"/>
  </r>
  <r>
    <x v="0"/>
    <x v="323"/>
    <s v="000547933"/>
    <m/>
    <m/>
    <x v="0"/>
    <x v="0"/>
    <x v="0"/>
    <x v="0"/>
    <x v="0"/>
  </r>
  <r>
    <x v="3"/>
    <x v="324"/>
    <s v="000523390"/>
    <m/>
    <m/>
    <x v="0"/>
    <x v="0"/>
    <x v="0"/>
    <x v="0"/>
    <x v="0"/>
  </r>
  <r>
    <x v="2"/>
    <x v="325"/>
    <s v="000289747"/>
    <m/>
    <m/>
    <x v="0"/>
    <x v="0"/>
    <x v="0"/>
    <x v="0"/>
    <x v="0"/>
  </r>
  <r>
    <x v="2"/>
    <x v="326"/>
    <s v="000338413"/>
    <m/>
    <m/>
    <x v="0"/>
    <x v="0"/>
    <x v="0"/>
    <x v="0"/>
    <x v="0"/>
  </r>
  <r>
    <x v="3"/>
    <x v="327"/>
    <s v="000523390"/>
    <m/>
    <m/>
    <x v="0"/>
    <x v="0"/>
    <x v="0"/>
    <x v="0"/>
    <x v="0"/>
  </r>
  <r>
    <x v="3"/>
    <x v="328"/>
    <s v="000269348"/>
    <m/>
    <m/>
    <x v="0"/>
    <x v="0"/>
    <x v="0"/>
    <x v="0"/>
    <x v="0"/>
  </r>
  <r>
    <x v="0"/>
    <x v="329"/>
    <s v="000288545"/>
    <m/>
    <m/>
    <x v="0"/>
    <x v="0"/>
    <x v="0"/>
    <x v="0"/>
    <x v="0"/>
  </r>
  <r>
    <x v="3"/>
    <x v="330"/>
    <s v="000523390"/>
    <m/>
    <m/>
    <x v="0"/>
    <x v="0"/>
    <x v="0"/>
    <x v="0"/>
    <x v="0"/>
  </r>
  <r>
    <x v="3"/>
    <x v="331"/>
    <s v="000542316"/>
    <m/>
    <m/>
    <x v="0"/>
    <x v="0"/>
    <x v="0"/>
    <x v="0"/>
    <x v="0"/>
  </r>
  <r>
    <x v="0"/>
    <x v="331"/>
    <s v="Selby, Helen"/>
    <m/>
    <m/>
    <x v="0"/>
    <x v="0"/>
    <x v="0"/>
    <x v="0"/>
    <x v="0"/>
  </r>
  <r>
    <x v="3"/>
    <x v="332"/>
    <s v="000269348"/>
    <m/>
    <m/>
    <x v="0"/>
    <x v="0"/>
    <x v="0"/>
    <x v="0"/>
    <x v="0"/>
  </r>
  <r>
    <x v="3"/>
    <x v="333"/>
    <s v="000473442"/>
    <m/>
    <m/>
    <x v="0"/>
    <x v="0"/>
    <x v="0"/>
    <x v="0"/>
    <x v="0"/>
  </r>
  <r>
    <x v="0"/>
    <x v="334"/>
    <s v="000054926"/>
    <m/>
    <m/>
    <x v="0"/>
    <x v="0"/>
    <x v="0"/>
    <x v="0"/>
    <x v="0"/>
  </r>
  <r>
    <x v="3"/>
    <x v="335"/>
    <s v="000269348"/>
    <m/>
    <m/>
    <x v="0"/>
    <x v="0"/>
    <x v="0"/>
    <x v="0"/>
    <x v="0"/>
  </r>
  <r>
    <x v="1"/>
    <x v="336"/>
    <s v="000052693"/>
    <m/>
    <m/>
    <x v="0"/>
    <x v="0"/>
    <x v="0"/>
    <x v="0"/>
    <x v="0"/>
  </r>
  <r>
    <x v="0"/>
    <x v="337"/>
    <s v="000477515"/>
    <m/>
    <m/>
    <x v="0"/>
    <x v="0"/>
    <x v="0"/>
    <x v="0"/>
    <x v="0"/>
  </r>
  <r>
    <x v="3"/>
    <x v="338"/>
    <s v="000542316"/>
    <m/>
    <m/>
    <x v="0"/>
    <x v="0"/>
    <x v="0"/>
    <x v="0"/>
    <x v="0"/>
  </r>
  <r>
    <x v="3"/>
    <x v="339"/>
    <s v="000473442"/>
    <m/>
    <m/>
    <x v="0"/>
    <x v="0"/>
    <x v="0"/>
    <x v="0"/>
    <x v="0"/>
  </r>
  <r>
    <x v="3"/>
    <x v="340"/>
    <s v="000269348"/>
    <m/>
    <m/>
    <x v="0"/>
    <x v="0"/>
    <x v="0"/>
    <x v="0"/>
    <x v="0"/>
  </r>
  <r>
    <x v="3"/>
    <x v="341"/>
    <s v="000297005"/>
    <m/>
    <m/>
    <x v="0"/>
    <x v="0"/>
    <x v="0"/>
    <x v="0"/>
    <x v="0"/>
  </r>
  <r>
    <x v="3"/>
    <x v="342"/>
    <s v="000542316"/>
    <m/>
    <m/>
    <x v="0"/>
    <x v="0"/>
    <x v="0"/>
    <x v="0"/>
    <x v="0"/>
  </r>
  <r>
    <x v="3"/>
    <x v="343"/>
    <s v="000473442"/>
    <m/>
    <m/>
    <x v="0"/>
    <x v="0"/>
    <x v="0"/>
    <x v="0"/>
    <x v="0"/>
  </r>
  <r>
    <x v="0"/>
    <x v="344"/>
    <s v="000198143"/>
    <m/>
    <m/>
    <x v="0"/>
    <x v="0"/>
    <x v="0"/>
    <x v="0"/>
    <x v="0"/>
  </r>
  <r>
    <x v="3"/>
    <x v="345"/>
    <s v="000318279"/>
    <m/>
    <m/>
    <x v="0"/>
    <x v="0"/>
    <x v="0"/>
    <x v="0"/>
    <x v="0"/>
  </r>
  <r>
    <x v="3"/>
    <x v="346"/>
    <s v="000297005"/>
    <m/>
    <m/>
    <x v="0"/>
    <x v="0"/>
    <x v="0"/>
    <x v="0"/>
    <x v="0"/>
  </r>
  <r>
    <x v="3"/>
    <x v="347"/>
    <s v="000542316"/>
    <m/>
    <m/>
    <x v="0"/>
    <x v="0"/>
    <x v="0"/>
    <x v="0"/>
    <x v="0"/>
  </r>
  <r>
    <x v="3"/>
    <x v="348"/>
    <s v="000473442"/>
    <m/>
    <m/>
    <x v="0"/>
    <x v="0"/>
    <x v="0"/>
    <x v="0"/>
    <x v="0"/>
  </r>
  <r>
    <x v="3"/>
    <x v="349"/>
    <s v="000318279"/>
    <m/>
    <m/>
    <x v="0"/>
    <x v="0"/>
    <x v="0"/>
    <x v="0"/>
    <x v="0"/>
  </r>
  <r>
    <x v="3"/>
    <x v="350"/>
    <s v="000297005"/>
    <m/>
    <m/>
    <x v="0"/>
    <x v="0"/>
    <x v="0"/>
    <x v="0"/>
    <x v="0"/>
  </r>
  <r>
    <x v="2"/>
    <x v="350"/>
    <s v="000524325"/>
    <m/>
    <m/>
    <x v="0"/>
    <x v="0"/>
    <x v="0"/>
    <x v="0"/>
    <x v="0"/>
  </r>
  <r>
    <x v="3"/>
    <x v="350"/>
    <s v="000542316"/>
    <m/>
    <m/>
    <x v="0"/>
    <x v="0"/>
    <x v="0"/>
    <x v="0"/>
    <x v="0"/>
  </r>
  <r>
    <x v="3"/>
    <x v="351"/>
    <s v="000473442"/>
    <m/>
    <m/>
    <x v="0"/>
    <x v="0"/>
    <x v="0"/>
    <x v="0"/>
    <x v="0"/>
  </r>
  <r>
    <x v="3"/>
    <x v="352"/>
    <s v="000318279"/>
    <m/>
    <m/>
    <x v="0"/>
    <x v="0"/>
    <x v="0"/>
    <x v="0"/>
    <x v="0"/>
  </r>
  <r>
    <x v="3"/>
    <x v="353"/>
    <s v="000297005"/>
    <m/>
    <m/>
    <x v="0"/>
    <x v="0"/>
    <x v="0"/>
    <x v="0"/>
    <x v="0"/>
  </r>
  <r>
    <x v="3"/>
    <x v="353"/>
    <s v="000542316"/>
    <m/>
    <m/>
    <x v="0"/>
    <x v="0"/>
    <x v="0"/>
    <x v="0"/>
    <x v="0"/>
  </r>
  <r>
    <x v="0"/>
    <x v="354"/>
    <s v="000526416"/>
    <m/>
    <m/>
    <x v="0"/>
    <x v="0"/>
    <x v="0"/>
    <x v="0"/>
    <x v="0"/>
  </r>
  <r>
    <x v="3"/>
    <x v="355"/>
    <s v="000473442"/>
    <m/>
    <m/>
    <x v="0"/>
    <x v="0"/>
    <x v="0"/>
    <x v="0"/>
    <x v="0"/>
  </r>
  <r>
    <x v="0"/>
    <x v="356"/>
    <s v="000316766"/>
    <m/>
    <m/>
    <x v="0"/>
    <x v="0"/>
    <x v="0"/>
    <x v="0"/>
    <x v="0"/>
  </r>
  <r>
    <x v="3"/>
    <x v="357"/>
    <s v="000297005"/>
    <m/>
    <m/>
    <x v="0"/>
    <x v="0"/>
    <x v="0"/>
    <x v="0"/>
    <x v="0"/>
  </r>
  <r>
    <x v="3"/>
    <x v="357"/>
    <s v="000318279"/>
    <m/>
    <m/>
    <x v="0"/>
    <x v="0"/>
    <x v="0"/>
    <x v="0"/>
    <x v="0"/>
  </r>
  <r>
    <x v="3"/>
    <x v="358"/>
    <s v="000297005"/>
    <m/>
    <m/>
    <x v="0"/>
    <x v="0"/>
    <x v="0"/>
    <x v="0"/>
    <x v="0"/>
  </r>
  <r>
    <x v="3"/>
    <x v="358"/>
    <s v="000318279"/>
    <m/>
    <m/>
    <x v="0"/>
    <x v="0"/>
    <x v="0"/>
    <x v="0"/>
    <x v="0"/>
  </r>
  <r>
    <x v="3"/>
    <x v="359"/>
    <s v="000548779"/>
    <m/>
    <m/>
    <x v="0"/>
    <x v="0"/>
    <x v="0"/>
    <x v="0"/>
    <x v="0"/>
  </r>
  <r>
    <x v="3"/>
    <x v="360"/>
    <s v="000548779"/>
    <m/>
    <m/>
    <x v="0"/>
    <x v="0"/>
    <x v="0"/>
    <x v="0"/>
    <x v="0"/>
  </r>
  <r>
    <x v="1"/>
    <x v="361"/>
    <s v="000552095"/>
    <m/>
    <s v="JS"/>
    <x v="0"/>
    <x v="0"/>
    <x v="0"/>
    <x v="0"/>
    <x v="1"/>
  </r>
  <r>
    <x v="2"/>
    <x v="362"/>
    <s v="000217880"/>
    <m/>
    <m/>
    <x v="0"/>
    <x v="0"/>
    <x v="0"/>
    <x v="0"/>
    <x v="0"/>
  </r>
  <r>
    <x v="0"/>
    <x v="363"/>
    <s v="000325888"/>
    <m/>
    <m/>
    <x v="0"/>
    <x v="0"/>
    <x v="0"/>
    <x v="0"/>
    <x v="0"/>
  </r>
  <r>
    <x v="3"/>
    <x v="364"/>
    <s v="000548779"/>
    <m/>
    <m/>
    <x v="0"/>
    <x v="0"/>
    <x v="0"/>
    <x v="0"/>
    <x v="0"/>
  </r>
  <r>
    <x v="1"/>
    <x v="365"/>
    <s v="000552095"/>
    <m/>
    <m/>
    <x v="0"/>
    <x v="0"/>
    <x v="0"/>
    <x v="0"/>
    <x v="0"/>
  </r>
  <r>
    <x v="0"/>
    <x v="366"/>
    <s v="000547933"/>
    <m/>
    <m/>
    <x v="0"/>
    <x v="0"/>
    <x v="0"/>
    <x v="0"/>
    <x v="0"/>
  </r>
  <r>
    <x v="1"/>
    <x v="367"/>
    <s v="000552095"/>
    <m/>
    <s v="JS"/>
    <x v="0"/>
    <x v="0"/>
    <x v="0"/>
    <x v="0"/>
    <x v="1"/>
  </r>
  <r>
    <x v="0"/>
    <x v="368"/>
    <s v="000316766"/>
    <m/>
    <m/>
    <x v="0"/>
    <x v="0"/>
    <x v="0"/>
    <x v="0"/>
    <x v="0"/>
  </r>
  <r>
    <x v="1"/>
    <x v="369"/>
    <s v="000375352"/>
    <m/>
    <m/>
    <x v="0"/>
    <x v="0"/>
    <x v="0"/>
    <x v="0"/>
    <x v="0"/>
  </r>
  <r>
    <x v="0"/>
    <x v="370"/>
    <s v="000295860"/>
    <m/>
    <m/>
    <x v="0"/>
    <x v="0"/>
    <x v="0"/>
    <x v="0"/>
    <x v="0"/>
  </r>
  <r>
    <x v="3"/>
    <x v="371"/>
    <s v="000548779"/>
    <m/>
    <m/>
    <x v="0"/>
    <x v="0"/>
    <x v="0"/>
    <x v="0"/>
    <x v="0"/>
  </r>
  <r>
    <x v="3"/>
    <x v="372"/>
    <s v="000548779"/>
    <m/>
    <m/>
    <x v="0"/>
    <x v="0"/>
    <x v="0"/>
    <x v="0"/>
    <x v="0"/>
  </r>
  <r>
    <x v="2"/>
    <x v="373"/>
    <s v="000275892"/>
    <m/>
    <m/>
    <x v="0"/>
    <x v="0"/>
    <x v="0"/>
    <x v="0"/>
    <x v="0"/>
  </r>
  <r>
    <x v="3"/>
    <x v="374"/>
    <s v="000548779"/>
    <m/>
    <m/>
    <x v="0"/>
    <x v="0"/>
    <x v="0"/>
    <x v="0"/>
    <x v="0"/>
  </r>
  <r>
    <x v="1"/>
    <x v="375"/>
    <s v="000448426"/>
    <m/>
    <m/>
    <x v="0"/>
    <x v="0"/>
    <x v="0"/>
    <x v="0"/>
    <x v="0"/>
  </r>
  <r>
    <x v="3"/>
    <x v="376"/>
    <s v="000314792"/>
    <m/>
    <m/>
    <x v="0"/>
    <x v="0"/>
    <x v="0"/>
    <x v="0"/>
    <x v="0"/>
  </r>
  <r>
    <x v="0"/>
    <x v="376"/>
    <s v="000546871"/>
    <m/>
    <m/>
    <x v="0"/>
    <x v="0"/>
    <x v="0"/>
    <x v="0"/>
    <x v="0"/>
  </r>
  <r>
    <x v="3"/>
    <x v="377"/>
    <s v="000314792"/>
    <m/>
    <m/>
    <x v="0"/>
    <x v="0"/>
    <x v="0"/>
    <x v="0"/>
    <x v="0"/>
  </r>
  <r>
    <x v="0"/>
    <x v="378"/>
    <s v="000197932"/>
    <m/>
    <m/>
    <x v="0"/>
    <x v="0"/>
    <x v="0"/>
    <x v="0"/>
    <x v="0"/>
  </r>
  <r>
    <x v="2"/>
    <x v="379"/>
    <s v="000414221"/>
    <m/>
    <s v="JS"/>
    <x v="0"/>
    <x v="0"/>
    <x v="0"/>
    <x v="0"/>
    <x v="1"/>
  </r>
  <r>
    <x v="3"/>
    <x v="380"/>
    <s v="000314792"/>
    <m/>
    <m/>
    <x v="0"/>
    <x v="0"/>
    <x v="0"/>
    <x v="0"/>
    <x v="0"/>
  </r>
  <r>
    <x v="0"/>
    <x v="381"/>
    <s v="000549870"/>
    <m/>
    <m/>
    <x v="0"/>
    <x v="0"/>
    <x v="0"/>
    <x v="0"/>
    <x v="0"/>
  </r>
  <r>
    <x v="3"/>
    <x v="382"/>
    <s v="000314792"/>
    <m/>
    <m/>
    <x v="0"/>
    <x v="0"/>
    <x v="0"/>
    <x v="0"/>
    <x v="0"/>
  </r>
  <r>
    <x v="2"/>
    <x v="383"/>
    <s v="000452238"/>
    <m/>
    <m/>
    <x v="0"/>
    <x v="0"/>
    <x v="0"/>
    <x v="0"/>
    <x v="0"/>
  </r>
  <r>
    <x v="3"/>
    <x v="384"/>
    <s v="000314792"/>
    <m/>
    <m/>
    <x v="0"/>
    <x v="0"/>
    <x v="0"/>
    <x v="0"/>
    <x v="0"/>
  </r>
  <r>
    <x v="0"/>
    <x v="385"/>
    <s v="000288521"/>
    <m/>
    <m/>
    <x v="0"/>
    <x v="0"/>
    <x v="0"/>
    <x v="0"/>
    <x v="0"/>
  </r>
  <r>
    <x v="3"/>
    <x v="386"/>
    <s v="000314792"/>
    <m/>
    <m/>
    <x v="0"/>
    <x v="0"/>
    <x v="0"/>
    <x v="0"/>
    <x v="0"/>
  </r>
  <r>
    <x v="0"/>
    <x v="387"/>
    <s v="000567965"/>
    <m/>
    <m/>
    <x v="0"/>
    <x v="0"/>
    <x v="0"/>
    <x v="0"/>
    <x v="0"/>
  </r>
  <r>
    <x v="0"/>
    <x v="388"/>
    <s v="000494111"/>
    <m/>
    <m/>
    <x v="0"/>
    <x v="0"/>
    <x v="0"/>
    <x v="0"/>
    <x v="0"/>
  </r>
  <r>
    <x v="2"/>
    <x v="389"/>
    <s v="000290480"/>
    <m/>
    <m/>
    <x v="0"/>
    <x v="0"/>
    <x v="0"/>
    <x v="0"/>
    <x v="0"/>
  </r>
  <r>
    <x v="0"/>
    <x v="390"/>
    <s v="000452352"/>
    <m/>
    <m/>
    <x v="0"/>
    <x v="0"/>
    <x v="0"/>
    <x v="0"/>
    <x v="0"/>
  </r>
  <r>
    <x v="3"/>
    <x v="391"/>
    <s v="000565626"/>
    <s v="BB"/>
    <m/>
    <x v="1"/>
    <x v="0"/>
    <x v="0"/>
    <x v="0"/>
    <x v="0"/>
  </r>
  <r>
    <x v="0"/>
    <x v="392"/>
    <s v="000270625"/>
    <m/>
    <m/>
    <x v="0"/>
    <x v="0"/>
    <x v="0"/>
    <x v="0"/>
    <x v="0"/>
  </r>
  <r>
    <x v="0"/>
    <x v="393"/>
    <s v="000488933"/>
    <m/>
    <m/>
    <x v="0"/>
    <x v="0"/>
    <x v="0"/>
    <x v="0"/>
    <x v="0"/>
  </r>
  <r>
    <x v="3"/>
    <x v="394"/>
    <s v="000565626"/>
    <s v="BB"/>
    <m/>
    <x v="1"/>
    <x v="0"/>
    <x v="0"/>
    <x v="0"/>
    <x v="0"/>
  </r>
  <r>
    <x v="1"/>
    <x v="395"/>
    <s v="000419826"/>
    <m/>
    <m/>
    <x v="0"/>
    <x v="0"/>
    <x v="0"/>
    <x v="0"/>
    <x v="0"/>
  </r>
  <r>
    <x v="0"/>
    <x v="396"/>
    <s v="000573545"/>
    <m/>
    <m/>
    <x v="0"/>
    <x v="0"/>
    <x v="0"/>
    <x v="0"/>
    <x v="0"/>
  </r>
  <r>
    <x v="3"/>
    <x v="397"/>
    <s v="000565626"/>
    <s v="BB"/>
    <m/>
    <x v="1"/>
    <x v="0"/>
    <x v="0"/>
    <x v="0"/>
    <x v="0"/>
  </r>
  <r>
    <x v="2"/>
    <x v="398"/>
    <s v="000515570"/>
    <s v="BB"/>
    <m/>
    <x v="1"/>
    <x v="0"/>
    <x v="0"/>
    <x v="0"/>
    <x v="0"/>
  </r>
  <r>
    <x v="1"/>
    <x v="399"/>
    <s v="000419826"/>
    <m/>
    <m/>
    <x v="0"/>
    <x v="0"/>
    <x v="0"/>
    <x v="0"/>
    <x v="0"/>
  </r>
  <r>
    <x v="1"/>
    <x v="400"/>
    <s v="000453034"/>
    <m/>
    <s v="JS"/>
    <x v="0"/>
    <x v="0"/>
    <x v="0"/>
    <x v="0"/>
    <x v="1"/>
  </r>
  <r>
    <x v="2"/>
    <x v="401"/>
    <s v="000472460"/>
    <m/>
    <m/>
    <x v="0"/>
    <x v="0"/>
    <x v="0"/>
    <x v="0"/>
    <x v="0"/>
  </r>
  <r>
    <x v="0"/>
    <x v="402"/>
    <s v="000307736"/>
    <m/>
    <m/>
    <x v="0"/>
    <x v="0"/>
    <x v="0"/>
    <x v="0"/>
    <x v="0"/>
  </r>
  <r>
    <x v="3"/>
    <x v="403"/>
    <s v="000565626"/>
    <s v="BB"/>
    <m/>
    <x v="1"/>
    <x v="0"/>
    <x v="0"/>
    <x v="0"/>
    <x v="0"/>
  </r>
  <r>
    <x v="3"/>
    <x v="404"/>
    <s v="000565626"/>
    <s v="BB"/>
    <m/>
    <x v="1"/>
    <x v="0"/>
    <x v="0"/>
    <x v="0"/>
    <x v="0"/>
  </r>
  <r>
    <x v="0"/>
    <x v="405"/>
    <s v="000571671"/>
    <m/>
    <m/>
    <x v="0"/>
    <x v="0"/>
    <x v="0"/>
    <x v="0"/>
    <x v="0"/>
  </r>
  <r>
    <x v="0"/>
    <x v="406"/>
    <s v="000348252"/>
    <m/>
    <m/>
    <x v="0"/>
    <x v="0"/>
    <x v="0"/>
    <x v="0"/>
    <x v="0"/>
  </r>
  <r>
    <x v="3"/>
    <x v="407"/>
    <s v="000565626"/>
    <s v="BB"/>
    <m/>
    <x v="1"/>
    <x v="0"/>
    <x v="0"/>
    <x v="0"/>
    <x v="0"/>
  </r>
  <r>
    <x v="3"/>
    <x v="408"/>
    <s v="000117936"/>
    <m/>
    <m/>
    <x v="0"/>
    <x v="0"/>
    <x v="0"/>
    <x v="0"/>
    <x v="0"/>
  </r>
  <r>
    <x v="0"/>
    <x v="409"/>
    <s v="000505423"/>
    <m/>
    <m/>
    <x v="0"/>
    <x v="0"/>
    <x v="0"/>
    <x v="0"/>
    <x v="0"/>
  </r>
  <r>
    <x v="0"/>
    <x v="409"/>
    <s v="000580908"/>
    <m/>
    <m/>
    <x v="0"/>
    <x v="0"/>
    <x v="0"/>
    <x v="0"/>
    <x v="0"/>
  </r>
  <r>
    <x v="2"/>
    <x v="410"/>
    <s v="000478654"/>
    <s v="BB"/>
    <m/>
    <x v="1"/>
    <x v="0"/>
    <x v="0"/>
    <x v="0"/>
    <x v="0"/>
  </r>
  <r>
    <x v="2"/>
    <x v="411"/>
    <s v="000204939"/>
    <s v="BB"/>
    <m/>
    <x v="1"/>
    <x v="0"/>
    <x v="0"/>
    <x v="0"/>
    <x v="0"/>
  </r>
  <r>
    <x v="0"/>
    <x v="412"/>
    <s v="000586915"/>
    <m/>
    <m/>
    <x v="0"/>
    <x v="0"/>
    <x v="0"/>
    <x v="0"/>
    <x v="0"/>
  </r>
  <r>
    <x v="0"/>
    <x v="413"/>
    <s v="000559571"/>
    <m/>
    <m/>
    <x v="0"/>
    <x v="0"/>
    <x v="0"/>
    <x v="0"/>
    <x v="0"/>
  </r>
  <r>
    <x v="2"/>
    <x v="414"/>
    <s v="000035093"/>
    <s v="ZC"/>
    <m/>
    <x v="0"/>
    <x v="0"/>
    <x v="1"/>
    <x v="0"/>
    <x v="0"/>
  </r>
  <r>
    <x v="3"/>
    <x v="415"/>
    <s v="000551273"/>
    <s v="ZC"/>
    <m/>
    <x v="0"/>
    <x v="0"/>
    <x v="1"/>
    <x v="0"/>
    <x v="0"/>
  </r>
  <r>
    <x v="0"/>
    <x v="416"/>
    <s v="000540573"/>
    <m/>
    <m/>
    <x v="0"/>
    <x v="0"/>
    <x v="0"/>
    <x v="0"/>
    <x v="0"/>
  </r>
  <r>
    <x v="0"/>
    <x v="417"/>
    <s v="000575519"/>
    <m/>
    <m/>
    <x v="0"/>
    <x v="0"/>
    <x v="0"/>
    <x v="0"/>
    <x v="0"/>
  </r>
  <r>
    <x v="2"/>
    <x v="417"/>
    <s v="000583166"/>
    <s v="BB, ZC"/>
    <s v="DJ"/>
    <x v="1"/>
    <x v="0"/>
    <x v="1"/>
    <x v="1"/>
    <x v="0"/>
  </r>
  <r>
    <x v="3"/>
    <x v="418"/>
    <s v="000551273"/>
    <s v="ZC"/>
    <m/>
    <x v="0"/>
    <x v="0"/>
    <x v="1"/>
    <x v="0"/>
    <x v="0"/>
  </r>
  <r>
    <x v="2"/>
    <x v="419"/>
    <s v="000590675"/>
    <s v="ZC"/>
    <m/>
    <x v="0"/>
    <x v="0"/>
    <x v="1"/>
    <x v="0"/>
    <x v="0"/>
  </r>
  <r>
    <x v="0"/>
    <x v="420"/>
    <s v="000521872"/>
    <m/>
    <m/>
    <x v="0"/>
    <x v="0"/>
    <x v="0"/>
    <x v="0"/>
    <x v="0"/>
  </r>
  <r>
    <x v="3"/>
    <x v="421"/>
    <s v="000551273"/>
    <s v="ZC"/>
    <m/>
    <x v="0"/>
    <x v="0"/>
    <x v="1"/>
    <x v="0"/>
    <x v="0"/>
  </r>
  <r>
    <x v="3"/>
    <x v="422"/>
    <s v="000551273"/>
    <s v="ZC"/>
    <m/>
    <x v="0"/>
    <x v="0"/>
    <x v="1"/>
    <x v="0"/>
    <x v="0"/>
  </r>
  <r>
    <x v="0"/>
    <x v="423"/>
    <s v="000430576"/>
    <m/>
    <m/>
    <x v="0"/>
    <x v="0"/>
    <x v="0"/>
    <x v="0"/>
    <x v="0"/>
  </r>
  <r>
    <x v="0"/>
    <x v="424"/>
    <s v="000589514"/>
    <m/>
    <m/>
    <x v="0"/>
    <x v="0"/>
    <x v="0"/>
    <x v="0"/>
    <x v="0"/>
  </r>
  <r>
    <x v="0"/>
    <x v="425"/>
    <s v="000224120"/>
    <m/>
    <m/>
    <x v="0"/>
    <x v="0"/>
    <x v="0"/>
    <x v="0"/>
    <x v="0"/>
  </r>
  <r>
    <x v="2"/>
    <x v="426"/>
    <s v="000591078"/>
    <s v="ZC"/>
    <s v="DJ"/>
    <x v="0"/>
    <x v="0"/>
    <x v="1"/>
    <x v="1"/>
    <x v="0"/>
  </r>
  <r>
    <x v="3"/>
    <x v="427"/>
    <s v="000302930"/>
    <s v="BB, ZC"/>
    <s v="DJ"/>
    <x v="1"/>
    <x v="0"/>
    <x v="1"/>
    <x v="1"/>
    <x v="0"/>
  </r>
  <r>
    <x v="3"/>
    <x v="427"/>
    <s v="000551293"/>
    <s v="BB, ZC"/>
    <m/>
    <x v="1"/>
    <x v="0"/>
    <x v="1"/>
    <x v="0"/>
    <x v="0"/>
  </r>
  <r>
    <x v="0"/>
    <x v="428"/>
    <s v="000446369"/>
    <m/>
    <m/>
    <x v="0"/>
    <x v="0"/>
    <x v="0"/>
    <x v="0"/>
    <x v="0"/>
  </r>
  <r>
    <x v="3"/>
    <x v="429"/>
    <s v="000335267"/>
    <s v="ZC"/>
    <s v="DJ"/>
    <x v="0"/>
    <x v="0"/>
    <x v="1"/>
    <x v="1"/>
    <x v="0"/>
  </r>
  <r>
    <x v="3"/>
    <x v="430"/>
    <s v="000302930"/>
    <s v="BB, ZC"/>
    <s v="DJ"/>
    <x v="1"/>
    <x v="0"/>
    <x v="1"/>
    <x v="1"/>
    <x v="0"/>
  </r>
  <r>
    <x v="2"/>
    <x v="431"/>
    <s v="000580075"/>
    <s v="BB, ZC"/>
    <s v="DJ"/>
    <x v="1"/>
    <x v="0"/>
    <x v="1"/>
    <x v="1"/>
    <x v="0"/>
  </r>
  <r>
    <x v="3"/>
    <x v="432"/>
    <s v="000551293"/>
    <s v="BB, ZC"/>
    <m/>
    <x v="1"/>
    <x v="0"/>
    <x v="1"/>
    <x v="0"/>
    <x v="0"/>
  </r>
  <r>
    <x v="0"/>
    <x v="433"/>
    <s v="000038327"/>
    <m/>
    <m/>
    <x v="0"/>
    <x v="0"/>
    <x v="0"/>
    <x v="0"/>
    <x v="0"/>
  </r>
  <r>
    <x v="3"/>
    <x v="434"/>
    <s v="000302930"/>
    <s v="BB, ZC"/>
    <s v="DJ"/>
    <x v="1"/>
    <x v="0"/>
    <x v="1"/>
    <x v="1"/>
    <x v="0"/>
  </r>
  <r>
    <x v="3"/>
    <x v="435"/>
    <s v="000302930"/>
    <s v="BB, ZC"/>
    <s v="DJ"/>
    <x v="1"/>
    <x v="0"/>
    <x v="1"/>
    <x v="1"/>
    <x v="0"/>
  </r>
  <r>
    <x v="3"/>
    <x v="436"/>
    <s v="000302930"/>
    <s v="BB, ZC"/>
    <s v="DJ"/>
    <x v="1"/>
    <x v="0"/>
    <x v="1"/>
    <x v="1"/>
    <x v="0"/>
  </r>
  <r>
    <x v="0"/>
    <x v="437"/>
    <s v="000149852"/>
    <m/>
    <m/>
    <x v="0"/>
    <x v="0"/>
    <x v="0"/>
    <x v="0"/>
    <x v="0"/>
  </r>
  <r>
    <x v="0"/>
    <x v="438"/>
    <s v="000462545"/>
    <m/>
    <m/>
    <x v="0"/>
    <x v="0"/>
    <x v="0"/>
    <x v="0"/>
    <x v="0"/>
  </r>
  <r>
    <x v="0"/>
    <x v="439"/>
    <s v="000585728"/>
    <m/>
    <m/>
    <x v="0"/>
    <x v="0"/>
    <x v="0"/>
    <x v="0"/>
    <x v="0"/>
  </r>
  <r>
    <x v="3"/>
    <x v="440"/>
    <s v="000050417"/>
    <s v="DZ"/>
    <m/>
    <x v="0"/>
    <x v="1"/>
    <x v="0"/>
    <x v="0"/>
    <x v="0"/>
  </r>
  <r>
    <x v="3"/>
    <x v="440"/>
    <s v="000458824"/>
    <s v="ZC"/>
    <m/>
    <x v="0"/>
    <x v="0"/>
    <x v="1"/>
    <x v="0"/>
    <x v="0"/>
  </r>
  <r>
    <x v="3"/>
    <x v="441"/>
    <s v="000458824"/>
    <m/>
    <s v="DJ"/>
    <x v="0"/>
    <x v="0"/>
    <x v="0"/>
    <x v="1"/>
    <x v="0"/>
  </r>
  <r>
    <x v="2"/>
    <x v="442"/>
    <s v="000604866"/>
    <s v="DZ, ZC"/>
    <s v="DJ"/>
    <x v="0"/>
    <x v="1"/>
    <x v="1"/>
    <x v="1"/>
    <x v="0"/>
  </r>
  <r>
    <x v="2"/>
    <x v="443"/>
    <s v="000538905"/>
    <s v="DZ, ZC"/>
    <s v="DJ"/>
    <x v="0"/>
    <x v="1"/>
    <x v="1"/>
    <x v="1"/>
    <x v="0"/>
  </r>
  <r>
    <x v="2"/>
    <x v="444"/>
    <s v="000602985"/>
    <s v="ZC"/>
    <s v="DJ"/>
    <x v="0"/>
    <x v="0"/>
    <x v="1"/>
    <x v="1"/>
    <x v="0"/>
  </r>
  <r>
    <x v="3"/>
    <x v="445"/>
    <s v="000050417"/>
    <s v="DZ, ZC"/>
    <m/>
    <x v="0"/>
    <x v="1"/>
    <x v="1"/>
    <x v="0"/>
    <x v="0"/>
  </r>
  <r>
    <x v="3"/>
    <x v="446"/>
    <s v="000050417"/>
    <s v="DZ, ZC"/>
    <s v="DJ"/>
    <x v="0"/>
    <x v="1"/>
    <x v="1"/>
    <x v="1"/>
    <x v="0"/>
  </r>
  <r>
    <x v="3"/>
    <x v="441"/>
    <s v="000458824"/>
    <s v="ZC"/>
    <s v="DJ"/>
    <x v="0"/>
    <x v="0"/>
    <x v="1"/>
    <x v="1"/>
    <x v="0"/>
  </r>
  <r>
    <x v="2"/>
    <x v="447"/>
    <s v="000446369"/>
    <s v="SL"/>
    <s v="DJ"/>
    <x v="0"/>
    <x v="0"/>
    <x v="0"/>
    <x v="1"/>
    <x v="0"/>
  </r>
  <r>
    <x v="0"/>
    <x v="448"/>
    <s v="000567878"/>
    <s v="SL"/>
    <s v="DJ"/>
    <x v="0"/>
    <x v="0"/>
    <x v="0"/>
    <x v="1"/>
    <x v="0"/>
  </r>
  <r>
    <x v="0"/>
    <x v="449"/>
    <s v="000552022"/>
    <s v="KT"/>
    <s v="DJ"/>
    <x v="0"/>
    <x v="0"/>
    <x v="0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NumTxsOverTime" cacheId="1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 rowHeaderCaption="Year" colHeaderCaption="Tx_Type">
  <location ref="AB8:AG29" firstHeaderRow="1" firstDataRow="2" firstDataCol="1" rowPageCount="5" colPageCount="1"/>
  <pivotFields count="12">
    <pivotField axis="axisCol" dataField="1">
      <items count="5">
        <item x="1"/>
        <item x="2"/>
        <item x="0"/>
        <item x="3"/>
        <item t="default"/>
      </items>
    </pivotField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name="BB Involved" axis="axisPage" showAll="0">
      <items count="3">
        <item x="0"/>
        <item x="1"/>
        <item t="default"/>
      </items>
    </pivotField>
    <pivotField name="DZ Involved" axis="axisPage" showAll="0">
      <items count="3">
        <item x="0"/>
        <item x="1"/>
        <item t="default"/>
      </items>
    </pivotField>
    <pivotField name="ZC Involved" axis="axisPage" showAll="0">
      <items count="3">
        <item x="0"/>
        <item x="1"/>
        <item t="default"/>
      </items>
    </pivotField>
    <pivotField name="DJ Involved" axis="axisPage" showAll="0">
      <items count="3">
        <item x="0"/>
        <item x="1"/>
        <item t="default"/>
      </items>
    </pivotField>
    <pivotField name="JS Involved" axis="axisPage" showAll="0">
      <items count="3">
        <item x="0"/>
        <item x="1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axis="axisRow" showAll="0" defaultSubtotal="0">
      <items count="2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x="20"/>
      </items>
    </pivotField>
  </pivotFields>
  <rowFields count="1">
    <field x="11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pageFields count="5">
    <pageField fld="5" hier="-1"/>
    <pageField fld="6" hier="-1"/>
    <pageField fld="7" hier="-1"/>
    <pageField fld="8" hier="-1"/>
    <pageField fld="9" hier="-1"/>
  </pageFields>
  <dataFields count="1">
    <dataField name="# Txs Per Year" fld="0" subtotal="count" baseField="0" baseItem="0"/>
  </dataFields>
  <chartFormats count="4"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ersonnelInvolved" cacheId="1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 rowHeaderCaption="Tx_Type">
  <location ref="T2:Y68" firstHeaderRow="0" firstDataRow="1" firstDataCol="1"/>
  <pivotFields count="12">
    <pivotField axis="axisRow" showAll="0">
      <items count="5">
        <item x="1"/>
        <item x="2"/>
        <item x="0"/>
        <item x="3"/>
        <item t="default"/>
      </items>
    </pivotField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axis="axisRow" showAll="0" defaultSubtotal="0">
      <items count="2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x="20"/>
      </items>
    </pivotField>
  </pivotFields>
  <rowFields count="2">
    <field x="0"/>
    <field x="11"/>
  </rowFields>
  <rowItems count="66">
    <i>
      <x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>
      <x v="3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# BB Involved" fld="5" baseField="0" baseItem="0"/>
    <dataField name="# DZ Involved" fld="6" baseField="0" baseItem="0"/>
    <dataField name="# ZC Involved" fld="7" baseField="0" baseItem="0"/>
    <dataField name="# DJ Involved" fld="8" baseField="0" baseItem="0"/>
    <dataField name="# JS Involved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BrachyTxs" displayName="BrachyTxs" ref="A2:J491" totalsRowShown="0">
  <autoFilter ref="A2:J491"/>
  <sortState ref="A2:E481">
    <sortCondition ref="B1:B481"/>
  </sortState>
  <tableColumns count="10">
    <tableColumn id="1" name="Tx_Type"/>
    <tableColumn id="2" name="Date" dataDxfId="10"/>
    <tableColumn id="3" name="Pt" dataDxfId="9"/>
    <tableColumn id="4" name="Physicist(s)" dataDxfId="8"/>
    <tableColumn id="5" name="MD(s)" dataDxfId="7"/>
    <tableColumn id="6" name="BB" dataDxfId="6">
      <calculatedColumnFormula>IF(ISNUMBER(SEARCH("BB",BrachyTxs[[#This Row],[Physicist(s)]])),1,0)</calculatedColumnFormula>
    </tableColumn>
    <tableColumn id="7" name="DZ" dataDxfId="5">
      <calculatedColumnFormula>IF(ISNUMBER(SEARCH("DZ",BrachyTxs[[#This Row],[Physicist(s)]])),1,0)</calculatedColumnFormula>
    </tableColumn>
    <tableColumn id="8" name="ZC" dataDxfId="4">
      <calculatedColumnFormula>IF(ISNUMBER(SEARCH("ZC",BrachyTxs[[#This Row],[Physicist(s)]])),1,0)</calculatedColumnFormula>
    </tableColumn>
    <tableColumn id="9" name="DJ" dataDxfId="3">
      <calculatedColumnFormula>IF(ISNUMBER(SEARCH("DJ",BrachyTxs[[#This Row],[MD(s)]])),1,0)</calculatedColumnFormula>
    </tableColumn>
    <tableColumn id="10" name="JS" dataDxfId="2">
      <calculatedColumnFormula>IF(ISNUMBER(SEARCH("JS",BrachyTxs[[#This Row],[MD(s)]])),1,0)</calculatedColumnFormula>
    </tableColumn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1" name="AllPhysicists" displayName="AllPhysicists" ref="L2:L6" totalsRowShown="0">
  <autoFilter ref="L2:L6"/>
  <tableColumns count="1">
    <tableColumn id="1" name="All Physicists" dataDxfId="1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id="3" name="AllMDs" displayName="AllMDs" ref="M2:M5" totalsRowShown="0">
  <autoFilter ref="M2:M5"/>
  <tableColumns count="1">
    <tableColumn id="1" name="All MDs"/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id="4" name="Validations" displayName="Validations" ref="O2:Q488" totalsRowShown="0">
  <autoFilter ref="O2:Q488"/>
  <tableColumns count="3">
    <tableColumn id="1" name="ValidatePt" dataDxfId="0">
      <calculatedColumnFormula>ValidatePatient(BrachyTxs[[#This Row],[Pt]])</calculatedColumnFormula>
    </tableColumn>
    <tableColumn id="2" name="ValidatePhys">
      <calculatedColumnFormula>ValidatePhysicists(BrachyTxs[[#This Row],[Physicist(s)]])</calculatedColumnFormula>
    </tableColumn>
    <tableColumn id="3" name="ValidateMD">
      <calculatedColumnFormula>ValidateMDs(BrachyTxs[[#This Row],[MD(s)]])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printerSettings" Target="../printerSettings/printerSettings2.bin"/><Relationship Id="rId7" Type="http://schemas.openxmlformats.org/officeDocument/2006/relationships/table" Target="../tables/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491"/>
  <sheetViews>
    <sheetView tabSelected="1" workbookViewId="0">
      <selection activeCell="C15" sqref="C15"/>
    </sheetView>
  </sheetViews>
  <sheetFormatPr defaultRowHeight="15" x14ac:dyDescent="0.25"/>
  <cols>
    <col min="1" max="1" width="14.7109375" bestFit="1" customWidth="1"/>
    <col min="2" max="2" width="10.7109375" style="1" bestFit="1" customWidth="1"/>
    <col min="3" max="3" width="20.7109375" style="2" bestFit="1" customWidth="1"/>
    <col min="4" max="4" width="13.28515625" bestFit="1" customWidth="1"/>
    <col min="5" max="5" width="8.7109375" bestFit="1" customWidth="1"/>
    <col min="6" max="7" width="5.5703125" hidden="1" customWidth="1"/>
    <col min="8" max="8" width="5.42578125" hidden="1" customWidth="1"/>
    <col min="9" max="9" width="5.28515625" hidden="1" customWidth="1"/>
    <col min="10" max="10" width="5" hidden="1" customWidth="1"/>
    <col min="11" max="11" width="12" hidden="1" customWidth="1"/>
    <col min="12" max="12" width="14.7109375" hidden="1" customWidth="1"/>
    <col min="13" max="13" width="10.140625" hidden="1" customWidth="1"/>
    <col min="14" max="14" width="6.7109375" hidden="1" customWidth="1"/>
    <col min="15" max="15" width="12.5703125" hidden="1" customWidth="1"/>
    <col min="16" max="16" width="14.85546875" hidden="1" customWidth="1"/>
    <col min="17" max="17" width="13.85546875" hidden="1" customWidth="1"/>
    <col min="18" max="18" width="6.42578125" style="7" customWidth="1"/>
    <col min="19" max="19" width="6.140625" customWidth="1"/>
    <col min="20" max="20" width="16.5703125" customWidth="1"/>
    <col min="21" max="22" width="12.85546875" bestFit="1" customWidth="1"/>
    <col min="23" max="23" width="12.7109375" customWidth="1"/>
    <col min="24" max="24" width="12.5703125" customWidth="1"/>
    <col min="25" max="25" width="12.28515625" customWidth="1"/>
    <col min="26" max="26" width="6.140625" style="7" customWidth="1"/>
    <col min="27" max="27" width="6" customWidth="1"/>
    <col min="28" max="28" width="13.28515625" bestFit="1" customWidth="1"/>
    <col min="29" max="29" width="10.5703125" customWidth="1"/>
    <col min="30" max="30" width="14.7109375" customWidth="1"/>
    <col min="31" max="31" width="14.28515625" customWidth="1"/>
    <col min="32" max="32" width="14.5703125" customWidth="1"/>
    <col min="33" max="33" width="11.28515625" customWidth="1"/>
    <col min="34" max="34" width="14.28515625" customWidth="1"/>
    <col min="35" max="35" width="14.5703125" customWidth="1"/>
    <col min="36" max="36" width="9.28515625" customWidth="1"/>
    <col min="37" max="37" width="14.7109375" customWidth="1"/>
    <col min="38" max="38" width="14.28515625" customWidth="1"/>
    <col min="39" max="39" width="14.5703125" customWidth="1"/>
    <col min="40" max="41" width="14.85546875" customWidth="1"/>
    <col min="42" max="42" width="14.7109375" customWidth="1"/>
    <col min="43" max="43" width="14.5703125" customWidth="1"/>
    <col min="44" max="44" width="14.28515625" customWidth="1"/>
    <col min="45" max="45" width="16.28515625" customWidth="1"/>
    <col min="46" max="46" width="16.140625" customWidth="1"/>
    <col min="47" max="47" width="16" customWidth="1"/>
    <col min="48" max="48" width="15.7109375" customWidth="1"/>
    <col min="49" max="50" width="17" customWidth="1"/>
    <col min="51" max="51" width="16.85546875" customWidth="1"/>
    <col min="52" max="52" width="16.7109375" customWidth="1"/>
    <col min="53" max="53" width="16.42578125" customWidth="1"/>
    <col min="54" max="55" width="11.28515625" customWidth="1"/>
    <col min="56" max="56" width="11.140625" customWidth="1"/>
    <col min="57" max="57" width="11" customWidth="1"/>
    <col min="58" max="58" width="10.7109375" customWidth="1"/>
    <col min="59" max="60" width="11.28515625" customWidth="1"/>
    <col min="61" max="61" width="11.140625" customWidth="1"/>
    <col min="62" max="62" width="11" customWidth="1"/>
    <col min="63" max="63" width="10.7109375" customWidth="1"/>
    <col min="64" max="65" width="17" customWidth="1"/>
    <col min="66" max="66" width="16.85546875" customWidth="1"/>
    <col min="67" max="67" width="16.7109375" customWidth="1"/>
    <col min="68" max="70" width="16.42578125" customWidth="1"/>
    <col min="71" max="71" width="16.28515625" customWidth="1"/>
    <col min="72" max="72" width="16.140625" customWidth="1"/>
    <col min="73" max="73" width="15.85546875" customWidth="1"/>
    <col min="74" max="75" width="16.28515625" customWidth="1"/>
    <col min="76" max="76" width="16.140625" customWidth="1"/>
    <col min="77" max="77" width="16" customWidth="1"/>
    <col min="78" max="78" width="15.7109375" customWidth="1"/>
    <col min="79" max="80" width="16.42578125" customWidth="1"/>
    <col min="81" max="81" width="16.28515625" customWidth="1"/>
    <col min="82" max="82" width="16.140625" customWidth="1"/>
    <col min="83" max="83" width="15.85546875" customWidth="1"/>
    <col min="84" max="85" width="17" bestFit="1" customWidth="1"/>
    <col min="86" max="86" width="16.85546875" bestFit="1" customWidth="1"/>
    <col min="87" max="87" width="16.7109375" bestFit="1" customWidth="1"/>
    <col min="88" max="88" width="16.42578125" customWidth="1"/>
    <col min="89" max="90" width="11.28515625" customWidth="1"/>
    <col min="91" max="91" width="11.140625" customWidth="1"/>
    <col min="92" max="92" width="11" customWidth="1"/>
    <col min="93" max="93" width="10.7109375" customWidth="1"/>
    <col min="94" max="95" width="17" customWidth="1"/>
    <col min="96" max="96" width="16.85546875" customWidth="1"/>
    <col min="97" max="97" width="16.7109375" customWidth="1"/>
    <col min="98" max="98" width="16.42578125" customWidth="1"/>
    <col min="99" max="100" width="11.28515625" customWidth="1"/>
    <col min="101" max="101" width="11.140625" customWidth="1"/>
    <col min="102" max="102" width="11" customWidth="1"/>
    <col min="103" max="103" width="10.7109375" customWidth="1"/>
    <col min="104" max="105" width="11.28515625" customWidth="1"/>
    <col min="106" max="106" width="11.140625" customWidth="1"/>
    <col min="107" max="107" width="11" customWidth="1"/>
    <col min="108" max="108" width="10.7109375" customWidth="1"/>
    <col min="109" max="110" width="16.42578125" customWidth="1"/>
    <col min="111" max="111" width="16.28515625" customWidth="1"/>
    <col min="112" max="112" width="16.140625" customWidth="1"/>
    <col min="113" max="113" width="15.85546875" customWidth="1"/>
    <col min="114" max="115" width="17" customWidth="1"/>
    <col min="116" max="116" width="16.85546875" customWidth="1"/>
    <col min="117" max="117" width="16.7109375" customWidth="1"/>
    <col min="118" max="118" width="16.42578125" customWidth="1"/>
    <col min="119" max="120" width="16.42578125" bestFit="1" customWidth="1"/>
    <col min="121" max="121" width="16.28515625" bestFit="1" customWidth="1"/>
    <col min="122" max="122" width="16.140625" bestFit="1" customWidth="1"/>
    <col min="123" max="123" width="15.85546875" customWidth="1"/>
    <col min="124" max="125" width="16.28515625" customWidth="1"/>
    <col min="126" max="126" width="16.140625" customWidth="1"/>
    <col min="127" max="127" width="16" customWidth="1"/>
    <col min="128" max="128" width="15.7109375" customWidth="1"/>
    <col min="129" max="130" width="11.28515625" bestFit="1" customWidth="1"/>
    <col min="131" max="131" width="11.140625" customWidth="1"/>
    <col min="132" max="132" width="11" customWidth="1"/>
    <col min="133" max="133" width="10.7109375" customWidth="1"/>
    <col min="134" max="135" width="17" bestFit="1" customWidth="1"/>
    <col min="136" max="136" width="16.85546875" bestFit="1" customWidth="1"/>
    <col min="137" max="137" width="16.7109375" bestFit="1" customWidth="1"/>
    <col min="138" max="138" width="16.42578125" bestFit="1" customWidth="1"/>
    <col min="139" max="140" width="17" bestFit="1" customWidth="1"/>
    <col min="141" max="141" width="16.85546875" bestFit="1" customWidth="1"/>
    <col min="142" max="142" width="16.7109375" bestFit="1" customWidth="1"/>
    <col min="143" max="143" width="16.42578125" bestFit="1" customWidth="1"/>
    <col min="144" max="145" width="11.28515625" customWidth="1"/>
    <col min="146" max="146" width="11.140625" customWidth="1"/>
    <col min="147" max="147" width="11" customWidth="1"/>
    <col min="148" max="148" width="10.7109375" customWidth="1"/>
    <col min="149" max="150" width="17" bestFit="1" customWidth="1"/>
    <col min="151" max="151" width="16.85546875" bestFit="1" customWidth="1"/>
    <col min="152" max="152" width="16.7109375" bestFit="1" customWidth="1"/>
    <col min="153" max="153" width="16.42578125" bestFit="1" customWidth="1"/>
    <col min="154" max="155" width="11.28515625" bestFit="1" customWidth="1"/>
    <col min="156" max="156" width="11.140625" bestFit="1" customWidth="1"/>
    <col min="157" max="157" width="11" bestFit="1" customWidth="1"/>
    <col min="158" max="158" width="10.7109375" bestFit="1" customWidth="1"/>
    <col min="159" max="160" width="16.42578125" bestFit="1" customWidth="1"/>
    <col min="161" max="161" width="16.28515625" bestFit="1" customWidth="1"/>
    <col min="162" max="162" width="16.140625" bestFit="1" customWidth="1"/>
    <col min="163" max="163" width="15.85546875" bestFit="1" customWidth="1"/>
    <col min="164" max="165" width="16.42578125" bestFit="1" customWidth="1"/>
    <col min="166" max="166" width="16.28515625" bestFit="1" customWidth="1"/>
    <col min="167" max="167" width="16.140625" bestFit="1" customWidth="1"/>
    <col min="168" max="168" width="15.85546875" bestFit="1" customWidth="1"/>
    <col min="169" max="170" width="17" bestFit="1" customWidth="1"/>
    <col min="171" max="171" width="16.85546875" bestFit="1" customWidth="1"/>
    <col min="172" max="172" width="16.7109375" bestFit="1" customWidth="1"/>
    <col min="173" max="175" width="16.42578125" bestFit="1" customWidth="1"/>
    <col min="176" max="176" width="16.28515625" bestFit="1" customWidth="1"/>
    <col min="177" max="177" width="16.140625" bestFit="1" customWidth="1"/>
    <col min="178" max="178" width="15.85546875" bestFit="1" customWidth="1"/>
    <col min="179" max="180" width="16.28515625" bestFit="1" customWidth="1"/>
    <col min="181" max="181" width="16.140625" bestFit="1" customWidth="1"/>
    <col min="182" max="182" width="16" bestFit="1" customWidth="1"/>
    <col min="183" max="183" width="15.7109375" bestFit="1" customWidth="1"/>
  </cols>
  <sheetData>
    <row r="1" spans="1:33" ht="18.75" x14ac:dyDescent="0.3">
      <c r="A1" s="9" t="s">
        <v>384</v>
      </c>
      <c r="B1" s="9"/>
      <c r="C1" s="9"/>
      <c r="D1" s="9"/>
      <c r="E1" s="9"/>
      <c r="T1" s="9" t="s">
        <v>383</v>
      </c>
      <c r="U1" s="9"/>
      <c r="V1" s="9"/>
      <c r="W1" s="9"/>
      <c r="X1" s="9"/>
      <c r="Y1" s="9"/>
      <c r="AB1" s="9" t="s">
        <v>386</v>
      </c>
      <c r="AC1" s="9"/>
      <c r="AD1" s="9"/>
      <c r="AE1" s="9"/>
      <c r="AF1" s="9"/>
      <c r="AG1" s="9"/>
    </row>
    <row r="2" spans="1:33" x14ac:dyDescent="0.25">
      <c r="A2" t="s">
        <v>321</v>
      </c>
      <c r="B2" s="1" t="s">
        <v>322</v>
      </c>
      <c r="C2" s="2" t="s">
        <v>337</v>
      </c>
      <c r="D2" t="s">
        <v>331</v>
      </c>
      <c r="E2" t="s">
        <v>330</v>
      </c>
      <c r="F2" t="s">
        <v>332</v>
      </c>
      <c r="G2" t="s">
        <v>342</v>
      </c>
      <c r="H2" t="s">
        <v>333</v>
      </c>
      <c r="I2" t="s">
        <v>335</v>
      </c>
      <c r="J2" t="s">
        <v>336</v>
      </c>
      <c r="L2" t="s">
        <v>344</v>
      </c>
      <c r="M2" t="s">
        <v>345</v>
      </c>
      <c r="O2" t="s">
        <v>343</v>
      </c>
      <c r="P2" t="s">
        <v>348</v>
      </c>
      <c r="Q2" t="s">
        <v>349</v>
      </c>
      <c r="T2" s="6" t="s">
        <v>321</v>
      </c>
      <c r="U2" t="s">
        <v>371</v>
      </c>
      <c r="V2" t="s">
        <v>372</v>
      </c>
      <c r="W2" t="s">
        <v>373</v>
      </c>
      <c r="X2" t="s">
        <v>374</v>
      </c>
      <c r="Y2" t="s">
        <v>375</v>
      </c>
      <c r="AB2" s="6" t="s">
        <v>378</v>
      </c>
      <c r="AC2" t="s">
        <v>377</v>
      </c>
    </row>
    <row r="3" spans="1:33" x14ac:dyDescent="0.25">
      <c r="A3" t="s">
        <v>323</v>
      </c>
      <c r="B3" s="1">
        <v>38160</v>
      </c>
      <c r="C3" s="2" t="s">
        <v>107</v>
      </c>
      <c r="D3" s="3"/>
      <c r="E3" s="3"/>
      <c r="F3">
        <f>IF(ISNUMBER(SEARCH("BB",BrachyTxs[[#This Row],[Physicist(s)]])),1,0)</f>
        <v>0</v>
      </c>
      <c r="G3">
        <f>IF(ISNUMBER(SEARCH("DZ",BrachyTxs[[#This Row],[Physicist(s)]])),1,0)</f>
        <v>0</v>
      </c>
      <c r="H3">
        <f>IF(ISNUMBER(SEARCH("ZC",BrachyTxs[[#This Row],[Physicist(s)]])),1,0)</f>
        <v>0</v>
      </c>
      <c r="I3">
        <f>IF(ISNUMBER(SEARCH("DJ",BrachyTxs[[#This Row],[MD(s)]])),1,0)</f>
        <v>0</v>
      </c>
      <c r="J3">
        <f>IF(ISNUMBER(SEARCH("JS",BrachyTxs[[#This Row],[MD(s)]])),1,0)</f>
        <v>0</v>
      </c>
      <c r="L3" t="s">
        <v>332</v>
      </c>
      <c r="M3" t="s">
        <v>347</v>
      </c>
      <c r="O3" t="b">
        <f>ValidatePatient(BrachyTxs[[#This Row],[Pt]])</f>
        <v>1</v>
      </c>
      <c r="P3" t="b">
        <f>ValidatePhysicists(BrachyTxs[[#This Row],[Physicist(s)]])</f>
        <v>1</v>
      </c>
      <c r="Q3" t="b">
        <f>ValidateMDs(BrachyTxs[[#This Row],[MD(s)]])</f>
        <v>1</v>
      </c>
      <c r="T3" s="4" t="s">
        <v>324</v>
      </c>
      <c r="U3" s="3">
        <v>0</v>
      </c>
      <c r="V3" s="3">
        <v>0</v>
      </c>
      <c r="W3" s="3">
        <v>0</v>
      </c>
      <c r="X3" s="3">
        <v>0</v>
      </c>
      <c r="Y3" s="3">
        <v>8</v>
      </c>
      <c r="Z3" s="8"/>
      <c r="AB3" s="6" t="s">
        <v>379</v>
      </c>
      <c r="AC3" t="s">
        <v>377</v>
      </c>
    </row>
    <row r="4" spans="1:33" x14ac:dyDescent="0.25">
      <c r="A4" t="s">
        <v>323</v>
      </c>
      <c r="B4" s="1">
        <v>38344</v>
      </c>
      <c r="C4" s="2" t="s">
        <v>192</v>
      </c>
      <c r="D4" s="3"/>
      <c r="E4" s="3"/>
      <c r="F4">
        <f>IF(ISNUMBER(SEARCH("BB",BrachyTxs[[#This Row],[Physicist(s)]])),1,0)</f>
        <v>0</v>
      </c>
      <c r="G4" s="3">
        <f>IF(ISNUMBER(SEARCH("DZ",BrachyTxs[[#This Row],[Physicist(s)]])),1,0)</f>
        <v>0</v>
      </c>
      <c r="H4" s="3">
        <f>IF(ISNUMBER(SEARCH("ZC",BrachyTxs[[#This Row],[Physicist(s)]])),1,0)</f>
        <v>0</v>
      </c>
      <c r="I4" s="3">
        <f>IF(ISNUMBER(SEARCH("DJ",BrachyTxs[[#This Row],[MD(s)]])),1,0)</f>
        <v>0</v>
      </c>
      <c r="J4" s="3">
        <f>IF(ISNUMBER(SEARCH("JS",BrachyTxs[[#This Row],[MD(s)]])),1,0)</f>
        <v>0</v>
      </c>
      <c r="K4" s="3"/>
      <c r="L4" s="3" t="s">
        <v>342</v>
      </c>
      <c r="M4" s="3" t="s">
        <v>335</v>
      </c>
      <c r="N4" s="3"/>
      <c r="O4" t="b">
        <f>ValidatePatient(BrachyTxs[[#This Row],[Pt]])</f>
        <v>1</v>
      </c>
      <c r="P4" t="b">
        <f>ValidatePhysicists(BrachyTxs[[#This Row],[Physicist(s)]])</f>
        <v>1</v>
      </c>
      <c r="Q4" t="b">
        <f>ValidateMDs(BrachyTxs[[#This Row],[MD(s)]])</f>
        <v>1</v>
      </c>
      <c r="S4" s="3"/>
      <c r="T4" s="5" t="s">
        <v>352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8"/>
      <c r="AB4" s="6" t="s">
        <v>380</v>
      </c>
      <c r="AC4" t="s">
        <v>377</v>
      </c>
    </row>
    <row r="5" spans="1:33" x14ac:dyDescent="0.25">
      <c r="A5" t="s">
        <v>324</v>
      </c>
      <c r="B5" s="1">
        <v>38560</v>
      </c>
      <c r="C5" s="2" t="s">
        <v>106</v>
      </c>
      <c r="D5" s="3"/>
      <c r="E5" s="3"/>
      <c r="F5">
        <f>IF(ISNUMBER(SEARCH("BB",BrachyTxs[[#This Row],[Physicist(s)]])),1,0)</f>
        <v>0</v>
      </c>
      <c r="G5" s="3">
        <f>IF(ISNUMBER(SEARCH("DZ",BrachyTxs[[#This Row],[Physicist(s)]])),1,0)</f>
        <v>0</v>
      </c>
      <c r="H5" s="3">
        <f>IF(ISNUMBER(SEARCH("ZC",BrachyTxs[[#This Row],[Physicist(s)]])),1,0)</f>
        <v>0</v>
      </c>
      <c r="I5" s="3">
        <f>IF(ISNUMBER(SEARCH("DJ",BrachyTxs[[#This Row],[MD(s)]])),1,0)</f>
        <v>0</v>
      </c>
      <c r="J5" s="3">
        <f>IF(ISNUMBER(SEARCH("JS",BrachyTxs[[#This Row],[MD(s)]])),1,0)</f>
        <v>0</v>
      </c>
      <c r="K5" s="3"/>
      <c r="L5" s="3" t="s">
        <v>346</v>
      </c>
      <c r="M5" s="3" t="s">
        <v>336</v>
      </c>
      <c r="N5" s="3"/>
      <c r="O5" t="b">
        <f>ValidatePatient(BrachyTxs[[#This Row],[Pt]])</f>
        <v>1</v>
      </c>
      <c r="P5" t="b">
        <f>ValidatePhysicists(BrachyTxs[[#This Row],[Physicist(s)]])</f>
        <v>1</v>
      </c>
      <c r="Q5" t="b">
        <f>ValidateMDs(BrachyTxs[[#This Row],[MD(s)]])</f>
        <v>1</v>
      </c>
      <c r="S5" s="3"/>
      <c r="T5" s="5" t="s">
        <v>353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8"/>
      <c r="AB5" s="6" t="s">
        <v>381</v>
      </c>
      <c r="AC5" t="s">
        <v>377</v>
      </c>
    </row>
    <row r="6" spans="1:33" x14ac:dyDescent="0.25">
      <c r="A6" t="s">
        <v>325</v>
      </c>
      <c r="B6" s="1">
        <v>38575</v>
      </c>
      <c r="C6" s="2" t="s">
        <v>45</v>
      </c>
      <c r="D6" s="3"/>
      <c r="E6" s="3"/>
      <c r="F6">
        <f>IF(ISNUMBER(SEARCH("BB",BrachyTxs[[#This Row],[Physicist(s)]])),1,0)</f>
        <v>0</v>
      </c>
      <c r="G6" s="3">
        <f>IF(ISNUMBER(SEARCH("DZ",BrachyTxs[[#This Row],[Physicist(s)]])),1,0)</f>
        <v>0</v>
      </c>
      <c r="H6" s="3">
        <f>IF(ISNUMBER(SEARCH("ZC",BrachyTxs[[#This Row],[Physicist(s)]])),1,0)</f>
        <v>0</v>
      </c>
      <c r="I6" s="3">
        <f>IF(ISNUMBER(SEARCH("DJ",BrachyTxs[[#This Row],[MD(s)]])),1,0)</f>
        <v>0</v>
      </c>
      <c r="J6" s="3">
        <f>IF(ISNUMBER(SEARCH("JS",BrachyTxs[[#This Row],[MD(s)]])),1,0)</f>
        <v>0</v>
      </c>
      <c r="K6" s="3"/>
      <c r="L6" s="3" t="s">
        <v>333</v>
      </c>
      <c r="M6" s="3"/>
      <c r="N6" s="3"/>
      <c r="O6" t="b">
        <f>ValidatePatient(BrachyTxs[[#This Row],[Pt]])</f>
        <v>1</v>
      </c>
      <c r="P6" t="b">
        <f>ValidatePhysicists(BrachyTxs[[#This Row],[Physicist(s)]])</f>
        <v>1</v>
      </c>
      <c r="Q6" t="b">
        <f>ValidateMDs(BrachyTxs[[#This Row],[MD(s)]])</f>
        <v>1</v>
      </c>
      <c r="S6" s="3"/>
      <c r="T6" s="5" t="s">
        <v>354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8"/>
      <c r="AB6" s="6" t="s">
        <v>382</v>
      </c>
      <c r="AC6" t="s">
        <v>377</v>
      </c>
    </row>
    <row r="7" spans="1:33" x14ac:dyDescent="0.25">
      <c r="A7" t="s">
        <v>323</v>
      </c>
      <c r="B7" s="1">
        <v>38616</v>
      </c>
      <c r="C7" s="2" t="s">
        <v>179</v>
      </c>
      <c r="D7" s="3"/>
      <c r="E7" s="3"/>
      <c r="F7">
        <f>IF(ISNUMBER(SEARCH("BB",BrachyTxs[[#This Row],[Physicist(s)]])),1,0)</f>
        <v>0</v>
      </c>
      <c r="G7" s="3">
        <f>IF(ISNUMBER(SEARCH("DZ",BrachyTxs[[#This Row],[Physicist(s)]])),1,0)</f>
        <v>0</v>
      </c>
      <c r="H7" s="3">
        <f>IF(ISNUMBER(SEARCH("ZC",BrachyTxs[[#This Row],[Physicist(s)]])),1,0)</f>
        <v>0</v>
      </c>
      <c r="I7" s="3">
        <f>IF(ISNUMBER(SEARCH("DJ",BrachyTxs[[#This Row],[MD(s)]])),1,0)</f>
        <v>0</v>
      </c>
      <c r="J7" s="3">
        <f>IF(ISNUMBER(SEARCH("JS",BrachyTxs[[#This Row],[MD(s)]])),1,0)</f>
        <v>0</v>
      </c>
      <c r="K7" s="3"/>
      <c r="L7" s="3"/>
      <c r="M7" s="3"/>
      <c r="N7" s="3"/>
      <c r="O7" t="b">
        <f>ValidatePatient(BrachyTxs[[#This Row],[Pt]])</f>
        <v>1</v>
      </c>
      <c r="P7" t="b">
        <f>ValidatePhysicists(BrachyTxs[[#This Row],[Physicist(s)]])</f>
        <v>1</v>
      </c>
      <c r="Q7" t="b">
        <f>ValidateMDs(BrachyTxs[[#This Row],[MD(s)]])</f>
        <v>1</v>
      </c>
      <c r="S7" s="3"/>
      <c r="T7" s="5" t="s">
        <v>355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8"/>
    </row>
    <row r="8" spans="1:33" x14ac:dyDescent="0.25">
      <c r="A8" t="s">
        <v>325</v>
      </c>
      <c r="B8" s="1">
        <v>38622</v>
      </c>
      <c r="C8" s="2" t="s">
        <v>112</v>
      </c>
      <c r="D8" s="3"/>
      <c r="E8" s="3"/>
      <c r="F8">
        <f>IF(ISNUMBER(SEARCH("BB",BrachyTxs[[#This Row],[Physicist(s)]])),1,0)</f>
        <v>0</v>
      </c>
      <c r="G8" s="3">
        <f>IF(ISNUMBER(SEARCH("DZ",BrachyTxs[[#This Row],[Physicist(s)]])),1,0)</f>
        <v>0</v>
      </c>
      <c r="H8" s="3">
        <f>IF(ISNUMBER(SEARCH("ZC",BrachyTxs[[#This Row],[Physicist(s)]])),1,0)</f>
        <v>0</v>
      </c>
      <c r="I8" s="3">
        <f>IF(ISNUMBER(SEARCH("DJ",BrachyTxs[[#This Row],[MD(s)]])),1,0)</f>
        <v>0</v>
      </c>
      <c r="J8" s="3">
        <f>IF(ISNUMBER(SEARCH("JS",BrachyTxs[[#This Row],[MD(s)]])),1,0)</f>
        <v>0</v>
      </c>
      <c r="K8" s="3"/>
      <c r="L8" s="3"/>
      <c r="M8" s="3"/>
      <c r="N8" s="3"/>
      <c r="O8" t="b">
        <f>ValidatePatient(BrachyTxs[[#This Row],[Pt]])</f>
        <v>1</v>
      </c>
      <c r="P8" t="b">
        <f>ValidatePhysicists(BrachyTxs[[#This Row],[Physicist(s)]])</f>
        <v>1</v>
      </c>
      <c r="Q8" t="b">
        <f>ValidateMDs(BrachyTxs[[#This Row],[MD(s)]])</f>
        <v>1</v>
      </c>
      <c r="S8" s="3"/>
      <c r="T8" s="5" t="s">
        <v>356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8"/>
      <c r="AB8" s="6" t="s">
        <v>385</v>
      </c>
      <c r="AC8" s="6" t="s">
        <v>321</v>
      </c>
    </row>
    <row r="9" spans="1:33" x14ac:dyDescent="0.25">
      <c r="A9" t="s">
        <v>323</v>
      </c>
      <c r="B9" s="1">
        <v>38623</v>
      </c>
      <c r="C9" s="2" t="s">
        <v>143</v>
      </c>
      <c r="D9" s="3"/>
      <c r="E9" s="3"/>
      <c r="F9">
        <f>IF(ISNUMBER(SEARCH("BB",BrachyTxs[[#This Row],[Physicist(s)]])),1,0)</f>
        <v>0</v>
      </c>
      <c r="G9" s="3">
        <f>IF(ISNUMBER(SEARCH("DZ",BrachyTxs[[#This Row],[Physicist(s)]])),1,0)</f>
        <v>0</v>
      </c>
      <c r="H9" s="3">
        <f>IF(ISNUMBER(SEARCH("ZC",BrachyTxs[[#This Row],[Physicist(s)]])),1,0)</f>
        <v>0</v>
      </c>
      <c r="I9" s="3">
        <f>IF(ISNUMBER(SEARCH("DJ",BrachyTxs[[#This Row],[MD(s)]])),1,0)</f>
        <v>0</v>
      </c>
      <c r="J9" s="3">
        <f>IF(ISNUMBER(SEARCH("JS",BrachyTxs[[#This Row],[MD(s)]])),1,0)</f>
        <v>0</v>
      </c>
      <c r="K9" s="3"/>
      <c r="L9" s="3"/>
      <c r="M9" s="3"/>
      <c r="N9" s="3"/>
      <c r="O9" t="b">
        <f>ValidatePatient(BrachyTxs[[#This Row],[Pt]])</f>
        <v>1</v>
      </c>
      <c r="P9" t="b">
        <f>ValidatePhysicists(BrachyTxs[[#This Row],[Physicist(s)]])</f>
        <v>1</v>
      </c>
      <c r="Q9" t="b">
        <f>ValidateMDs(BrachyTxs[[#This Row],[MD(s)]])</f>
        <v>1</v>
      </c>
      <c r="S9" s="3"/>
      <c r="T9" s="5" t="s">
        <v>357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8"/>
      <c r="AB9" s="6" t="s">
        <v>376</v>
      </c>
      <c r="AC9" t="s">
        <v>324</v>
      </c>
      <c r="AD9" t="s">
        <v>325</v>
      </c>
      <c r="AE9" t="s">
        <v>323</v>
      </c>
      <c r="AF9" t="s">
        <v>326</v>
      </c>
      <c r="AG9" t="s">
        <v>351</v>
      </c>
    </row>
    <row r="10" spans="1:33" x14ac:dyDescent="0.25">
      <c r="A10" t="s">
        <v>323</v>
      </c>
      <c r="B10" s="1">
        <v>38631</v>
      </c>
      <c r="C10" s="2" t="s">
        <v>161</v>
      </c>
      <c r="D10" s="3"/>
      <c r="E10" s="3"/>
      <c r="F10">
        <f>IF(ISNUMBER(SEARCH("BB",BrachyTxs[[#This Row],[Physicist(s)]])),1,0)</f>
        <v>0</v>
      </c>
      <c r="G10" s="3">
        <f>IF(ISNUMBER(SEARCH("DZ",BrachyTxs[[#This Row],[Physicist(s)]])),1,0)</f>
        <v>0</v>
      </c>
      <c r="H10" s="3">
        <f>IF(ISNUMBER(SEARCH("ZC",BrachyTxs[[#This Row],[Physicist(s)]])),1,0)</f>
        <v>0</v>
      </c>
      <c r="I10" s="3">
        <f>IF(ISNUMBER(SEARCH("DJ",BrachyTxs[[#This Row],[MD(s)]])),1,0)</f>
        <v>0</v>
      </c>
      <c r="J10" s="3">
        <f>IF(ISNUMBER(SEARCH("JS",BrachyTxs[[#This Row],[MD(s)]])),1,0)</f>
        <v>0</v>
      </c>
      <c r="K10" s="3"/>
      <c r="L10" s="3"/>
      <c r="M10" s="3"/>
      <c r="N10" s="3"/>
      <c r="O10" t="b">
        <f>ValidatePatient(BrachyTxs[[#This Row],[Pt]])</f>
        <v>1</v>
      </c>
      <c r="P10" t="b">
        <f>ValidatePhysicists(BrachyTxs[[#This Row],[Physicist(s)]])</f>
        <v>1</v>
      </c>
      <c r="Q10" t="b">
        <f>ValidateMDs(BrachyTxs[[#This Row],[MD(s)]])</f>
        <v>1</v>
      </c>
      <c r="S10" s="3"/>
      <c r="T10" s="5" t="s">
        <v>358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8"/>
      <c r="AB10" s="4" t="s">
        <v>370</v>
      </c>
      <c r="AC10" s="3"/>
      <c r="AD10" s="3"/>
      <c r="AE10" s="3">
        <v>2</v>
      </c>
      <c r="AF10" s="3"/>
      <c r="AG10" s="3">
        <v>2</v>
      </c>
    </row>
    <row r="11" spans="1:33" x14ac:dyDescent="0.25">
      <c r="A11" t="s">
        <v>323</v>
      </c>
      <c r="B11" s="1">
        <v>38645</v>
      </c>
      <c r="C11" s="2" t="s">
        <v>185</v>
      </c>
      <c r="D11" s="3"/>
      <c r="E11" s="3"/>
      <c r="F11">
        <f>IF(ISNUMBER(SEARCH("BB",BrachyTxs[[#This Row],[Physicist(s)]])),1,0)</f>
        <v>0</v>
      </c>
      <c r="G11" s="3">
        <f>IF(ISNUMBER(SEARCH("DZ",BrachyTxs[[#This Row],[Physicist(s)]])),1,0)</f>
        <v>0</v>
      </c>
      <c r="H11" s="3">
        <f>IF(ISNUMBER(SEARCH("ZC",BrachyTxs[[#This Row],[Physicist(s)]])),1,0)</f>
        <v>0</v>
      </c>
      <c r="I11" s="3">
        <f>IF(ISNUMBER(SEARCH("DJ",BrachyTxs[[#This Row],[MD(s)]])),1,0)</f>
        <v>0</v>
      </c>
      <c r="J11" s="3">
        <f>IF(ISNUMBER(SEARCH("JS",BrachyTxs[[#This Row],[MD(s)]])),1,0)</f>
        <v>0</v>
      </c>
      <c r="K11" s="3"/>
      <c r="L11" s="3"/>
      <c r="M11" s="3"/>
      <c r="N11" s="3"/>
      <c r="O11" t="b">
        <f>ValidatePatient(BrachyTxs[[#This Row],[Pt]])</f>
        <v>1</v>
      </c>
      <c r="P11" t="b">
        <f>ValidatePhysicists(BrachyTxs[[#This Row],[Physicist(s)]])</f>
        <v>1</v>
      </c>
      <c r="Q11" t="b">
        <f>ValidateMDs(BrachyTxs[[#This Row],[MD(s)]])</f>
        <v>1</v>
      </c>
      <c r="S11" s="3"/>
      <c r="T11" s="5" t="s">
        <v>359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8"/>
      <c r="AB11" s="4" t="s">
        <v>352</v>
      </c>
      <c r="AC11" s="3">
        <v>4</v>
      </c>
      <c r="AD11" s="3">
        <v>4</v>
      </c>
      <c r="AE11" s="3">
        <v>7</v>
      </c>
      <c r="AF11" s="3"/>
      <c r="AG11" s="3">
        <v>15</v>
      </c>
    </row>
    <row r="12" spans="1:33" x14ac:dyDescent="0.25">
      <c r="A12" t="s">
        <v>325</v>
      </c>
      <c r="B12" s="1">
        <v>38645</v>
      </c>
      <c r="C12" s="2" t="s">
        <v>22</v>
      </c>
      <c r="D12" s="3"/>
      <c r="E12" s="3"/>
      <c r="F12">
        <f>IF(ISNUMBER(SEARCH("BB",BrachyTxs[[#This Row],[Physicist(s)]])),1,0)</f>
        <v>0</v>
      </c>
      <c r="G12" s="3">
        <f>IF(ISNUMBER(SEARCH("DZ",BrachyTxs[[#This Row],[Physicist(s)]])),1,0)</f>
        <v>0</v>
      </c>
      <c r="H12" s="3">
        <f>IF(ISNUMBER(SEARCH("ZC",BrachyTxs[[#This Row],[Physicist(s)]])),1,0)</f>
        <v>0</v>
      </c>
      <c r="I12" s="3">
        <f>IF(ISNUMBER(SEARCH("DJ",BrachyTxs[[#This Row],[MD(s)]])),1,0)</f>
        <v>0</v>
      </c>
      <c r="J12" s="3">
        <f>IF(ISNUMBER(SEARCH("JS",BrachyTxs[[#This Row],[MD(s)]])),1,0)</f>
        <v>0</v>
      </c>
      <c r="K12" s="3"/>
      <c r="L12" s="3"/>
      <c r="M12" s="3"/>
      <c r="N12" s="3"/>
      <c r="O12" t="b">
        <f>ValidatePatient(BrachyTxs[[#This Row],[Pt]])</f>
        <v>1</v>
      </c>
      <c r="P12" t="b">
        <f>ValidatePhysicists(BrachyTxs[[#This Row],[Physicist(s)]])</f>
        <v>1</v>
      </c>
      <c r="Q12" t="b">
        <f>ValidateMDs(BrachyTxs[[#This Row],[MD(s)]])</f>
        <v>1</v>
      </c>
      <c r="S12" s="3"/>
      <c r="T12" s="5" t="s">
        <v>360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8"/>
      <c r="AB12" s="4" t="s">
        <v>353</v>
      </c>
      <c r="AC12" s="3">
        <v>12</v>
      </c>
      <c r="AD12" s="3">
        <v>12</v>
      </c>
      <c r="AE12" s="3">
        <v>13</v>
      </c>
      <c r="AF12" s="3"/>
      <c r="AG12" s="3">
        <v>37</v>
      </c>
    </row>
    <row r="13" spans="1:33" x14ac:dyDescent="0.25">
      <c r="A13" t="s">
        <v>324</v>
      </c>
      <c r="B13" s="1">
        <v>38673</v>
      </c>
      <c r="C13" s="2" t="s">
        <v>260</v>
      </c>
      <c r="D13" s="3"/>
      <c r="E13" s="3"/>
      <c r="F13">
        <f>IF(ISNUMBER(SEARCH("BB",BrachyTxs[[#This Row],[Physicist(s)]])),1,0)</f>
        <v>0</v>
      </c>
      <c r="G13" s="3">
        <f>IF(ISNUMBER(SEARCH("DZ",BrachyTxs[[#This Row],[Physicist(s)]])),1,0)</f>
        <v>0</v>
      </c>
      <c r="H13" s="3">
        <f>IF(ISNUMBER(SEARCH("ZC",BrachyTxs[[#This Row],[Physicist(s)]])),1,0)</f>
        <v>0</v>
      </c>
      <c r="I13" s="3">
        <f>IF(ISNUMBER(SEARCH("DJ",BrachyTxs[[#This Row],[MD(s)]])),1,0)</f>
        <v>0</v>
      </c>
      <c r="J13" s="3">
        <f>IF(ISNUMBER(SEARCH("JS",BrachyTxs[[#This Row],[MD(s)]])),1,0)</f>
        <v>0</v>
      </c>
      <c r="K13" s="3"/>
      <c r="L13" s="3"/>
      <c r="M13" s="3"/>
      <c r="N13" s="3"/>
      <c r="O13" t="b">
        <f>ValidatePatient(BrachyTxs[[#This Row],[Pt]])</f>
        <v>1</v>
      </c>
      <c r="P13" t="b">
        <f>ValidatePhysicists(BrachyTxs[[#This Row],[Physicist(s)]])</f>
        <v>1</v>
      </c>
      <c r="Q13" t="b">
        <f>ValidateMDs(BrachyTxs[[#This Row],[MD(s)]])</f>
        <v>1</v>
      </c>
      <c r="S13" s="3"/>
      <c r="T13" s="5" t="s">
        <v>361</v>
      </c>
      <c r="U13" s="3">
        <v>0</v>
      </c>
      <c r="V13" s="3">
        <v>0</v>
      </c>
      <c r="W13" s="3">
        <v>0</v>
      </c>
      <c r="X13" s="3">
        <v>0</v>
      </c>
      <c r="Y13" s="3">
        <v>3</v>
      </c>
      <c r="Z13" s="8"/>
      <c r="AB13" s="4" t="s">
        <v>354</v>
      </c>
      <c r="AC13" s="3">
        <v>2</v>
      </c>
      <c r="AD13" s="3">
        <v>8</v>
      </c>
      <c r="AE13" s="3">
        <v>16</v>
      </c>
      <c r="AF13" s="3"/>
      <c r="AG13" s="3">
        <v>26</v>
      </c>
    </row>
    <row r="14" spans="1:33" x14ac:dyDescent="0.25">
      <c r="A14" t="s">
        <v>324</v>
      </c>
      <c r="B14" s="1">
        <v>38678</v>
      </c>
      <c r="C14" s="2" t="s">
        <v>202</v>
      </c>
      <c r="D14" s="3"/>
      <c r="E14" s="3"/>
      <c r="F14">
        <f>IF(ISNUMBER(SEARCH("BB",BrachyTxs[[#This Row],[Physicist(s)]])),1,0)</f>
        <v>0</v>
      </c>
      <c r="G14" s="3">
        <f>IF(ISNUMBER(SEARCH("DZ",BrachyTxs[[#This Row],[Physicist(s)]])),1,0)</f>
        <v>0</v>
      </c>
      <c r="H14" s="3">
        <f>IF(ISNUMBER(SEARCH("ZC",BrachyTxs[[#This Row],[Physicist(s)]])),1,0)</f>
        <v>0</v>
      </c>
      <c r="I14" s="3">
        <f>IF(ISNUMBER(SEARCH("DJ",BrachyTxs[[#This Row],[MD(s)]])),1,0)</f>
        <v>0</v>
      </c>
      <c r="J14" s="3">
        <f>IF(ISNUMBER(SEARCH("JS",BrachyTxs[[#This Row],[MD(s)]])),1,0)</f>
        <v>0</v>
      </c>
      <c r="K14" s="3"/>
      <c r="L14" s="3"/>
      <c r="M14" s="3"/>
      <c r="N14" s="3"/>
      <c r="O14" t="b">
        <f>ValidatePatient(BrachyTxs[[#This Row],[Pt]])</f>
        <v>1</v>
      </c>
      <c r="P14" t="b">
        <f>ValidatePhysicists(BrachyTxs[[#This Row],[Physicist(s)]])</f>
        <v>1</v>
      </c>
      <c r="Q14" t="b">
        <f>ValidateMDs(BrachyTxs[[#This Row],[MD(s)]])</f>
        <v>1</v>
      </c>
      <c r="S14" s="3"/>
      <c r="T14" s="5" t="s">
        <v>362</v>
      </c>
      <c r="U14" s="3">
        <v>0</v>
      </c>
      <c r="V14" s="3">
        <v>0</v>
      </c>
      <c r="W14" s="3">
        <v>0</v>
      </c>
      <c r="X14" s="3">
        <v>0</v>
      </c>
      <c r="Y14" s="3">
        <v>1</v>
      </c>
      <c r="Z14" s="8"/>
      <c r="AB14" s="4" t="s">
        <v>355</v>
      </c>
      <c r="AC14" s="3">
        <v>21</v>
      </c>
      <c r="AD14" s="3">
        <v>9</v>
      </c>
      <c r="AE14" s="3">
        <v>8</v>
      </c>
      <c r="AF14" s="3"/>
      <c r="AG14" s="3">
        <v>38</v>
      </c>
    </row>
    <row r="15" spans="1:33" x14ac:dyDescent="0.25">
      <c r="A15" t="s">
        <v>325</v>
      </c>
      <c r="B15" s="1">
        <v>38691</v>
      </c>
      <c r="C15" s="2" t="s">
        <v>148</v>
      </c>
      <c r="D15" s="3"/>
      <c r="E15" s="3"/>
      <c r="F15">
        <f>IF(ISNUMBER(SEARCH("BB",BrachyTxs[[#This Row],[Physicist(s)]])),1,0)</f>
        <v>0</v>
      </c>
      <c r="G15" s="3">
        <f>IF(ISNUMBER(SEARCH("DZ",BrachyTxs[[#This Row],[Physicist(s)]])),1,0)</f>
        <v>0</v>
      </c>
      <c r="H15" s="3">
        <f>IF(ISNUMBER(SEARCH("ZC",BrachyTxs[[#This Row],[Physicist(s)]])),1,0)</f>
        <v>0</v>
      </c>
      <c r="I15" s="3">
        <f>IF(ISNUMBER(SEARCH("DJ",BrachyTxs[[#This Row],[MD(s)]])),1,0)</f>
        <v>0</v>
      </c>
      <c r="J15" s="3">
        <f>IF(ISNUMBER(SEARCH("JS",BrachyTxs[[#This Row],[MD(s)]])),1,0)</f>
        <v>0</v>
      </c>
      <c r="K15" s="3"/>
      <c r="L15" s="3"/>
      <c r="M15" s="3"/>
      <c r="N15" s="3"/>
      <c r="O15" t="b">
        <f>ValidatePatient(BrachyTxs[[#This Row],[Pt]])</f>
        <v>1</v>
      </c>
      <c r="P15" t="b">
        <f>ValidatePhysicists(BrachyTxs[[#This Row],[Physicist(s)]])</f>
        <v>1</v>
      </c>
      <c r="Q15" t="b">
        <f>ValidateMDs(BrachyTxs[[#This Row],[MD(s)]])</f>
        <v>1</v>
      </c>
      <c r="S15" s="3"/>
      <c r="T15" s="5" t="s">
        <v>363</v>
      </c>
      <c r="U15" s="3">
        <v>0</v>
      </c>
      <c r="V15" s="3">
        <v>0</v>
      </c>
      <c r="W15" s="3">
        <v>0</v>
      </c>
      <c r="X15" s="3">
        <v>0</v>
      </c>
      <c r="Y15" s="3">
        <v>1</v>
      </c>
      <c r="Z15" s="8"/>
      <c r="AB15" s="4" t="s">
        <v>356</v>
      </c>
      <c r="AC15" s="3">
        <v>6</v>
      </c>
      <c r="AD15" s="3">
        <v>9</v>
      </c>
      <c r="AE15" s="3">
        <v>8</v>
      </c>
      <c r="AF15" s="3"/>
      <c r="AG15" s="3">
        <v>23</v>
      </c>
    </row>
    <row r="16" spans="1:33" x14ac:dyDescent="0.25">
      <c r="A16" t="s">
        <v>323</v>
      </c>
      <c r="B16" s="1">
        <v>38695</v>
      </c>
      <c r="C16" s="2" t="s">
        <v>156</v>
      </c>
      <c r="D16" s="3"/>
      <c r="E16" s="3"/>
      <c r="F16">
        <f>IF(ISNUMBER(SEARCH("BB",BrachyTxs[[#This Row],[Physicist(s)]])),1,0)</f>
        <v>0</v>
      </c>
      <c r="G16" s="3">
        <f>IF(ISNUMBER(SEARCH("DZ",BrachyTxs[[#This Row],[Physicist(s)]])),1,0)</f>
        <v>0</v>
      </c>
      <c r="H16" s="3">
        <f>IF(ISNUMBER(SEARCH("ZC",BrachyTxs[[#This Row],[Physicist(s)]])),1,0)</f>
        <v>0</v>
      </c>
      <c r="I16" s="3">
        <f>IF(ISNUMBER(SEARCH("DJ",BrachyTxs[[#This Row],[MD(s)]])),1,0)</f>
        <v>0</v>
      </c>
      <c r="J16" s="3">
        <f>IF(ISNUMBER(SEARCH("JS",BrachyTxs[[#This Row],[MD(s)]])),1,0)</f>
        <v>0</v>
      </c>
      <c r="K16" s="3"/>
      <c r="L16" s="3"/>
      <c r="M16" s="3"/>
      <c r="N16" s="3"/>
      <c r="O16" t="b">
        <f>ValidatePatient(BrachyTxs[[#This Row],[Pt]])</f>
        <v>1</v>
      </c>
      <c r="P16" t="b">
        <f>ValidatePhysicists(BrachyTxs[[#This Row],[Physicist(s)]])</f>
        <v>1</v>
      </c>
      <c r="Q16" t="b">
        <f>ValidateMDs(BrachyTxs[[#This Row],[MD(s)]])</f>
        <v>1</v>
      </c>
      <c r="S16" s="3"/>
      <c r="T16" s="5" t="s">
        <v>364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8"/>
      <c r="AB16" s="4" t="s">
        <v>357</v>
      </c>
      <c r="AC16" s="3">
        <v>3</v>
      </c>
      <c r="AD16" s="3">
        <v>8</v>
      </c>
      <c r="AE16" s="3">
        <v>10</v>
      </c>
      <c r="AF16" s="3"/>
      <c r="AG16" s="3">
        <v>21</v>
      </c>
    </row>
    <row r="17" spans="1:33" x14ac:dyDescent="0.25">
      <c r="A17" t="s">
        <v>324</v>
      </c>
      <c r="B17" s="1">
        <v>38699</v>
      </c>
      <c r="C17" s="2" t="s">
        <v>202</v>
      </c>
      <c r="D17" s="3"/>
      <c r="E17" s="3"/>
      <c r="F17">
        <f>IF(ISNUMBER(SEARCH("BB",BrachyTxs[[#This Row],[Physicist(s)]])),1,0)</f>
        <v>0</v>
      </c>
      <c r="G17" s="3">
        <f>IF(ISNUMBER(SEARCH("DZ",BrachyTxs[[#This Row],[Physicist(s)]])),1,0)</f>
        <v>0</v>
      </c>
      <c r="H17" s="3">
        <f>IF(ISNUMBER(SEARCH("ZC",BrachyTxs[[#This Row],[Physicist(s)]])),1,0)</f>
        <v>0</v>
      </c>
      <c r="I17" s="3">
        <f>IF(ISNUMBER(SEARCH("DJ",BrachyTxs[[#This Row],[MD(s)]])),1,0)</f>
        <v>0</v>
      </c>
      <c r="J17" s="3">
        <f>IF(ISNUMBER(SEARCH("JS",BrachyTxs[[#This Row],[MD(s)]])),1,0)</f>
        <v>0</v>
      </c>
      <c r="K17" s="3"/>
      <c r="L17" s="3"/>
      <c r="M17" s="3"/>
      <c r="N17" s="3"/>
      <c r="O17" t="b">
        <f>ValidatePatient(BrachyTxs[[#This Row],[Pt]])</f>
        <v>1</v>
      </c>
      <c r="P17" t="b">
        <f>ValidatePhysicists(BrachyTxs[[#This Row],[Physicist(s)]])</f>
        <v>1</v>
      </c>
      <c r="Q17" t="b">
        <f>ValidateMDs(BrachyTxs[[#This Row],[MD(s)]])</f>
        <v>1</v>
      </c>
      <c r="S17" s="3"/>
      <c r="T17" s="5" t="s">
        <v>365</v>
      </c>
      <c r="U17" s="3">
        <v>0</v>
      </c>
      <c r="V17" s="3">
        <v>0</v>
      </c>
      <c r="W17" s="3">
        <v>0</v>
      </c>
      <c r="X17" s="3">
        <v>0</v>
      </c>
      <c r="Y17" s="3">
        <v>2</v>
      </c>
      <c r="Z17" s="8"/>
      <c r="AB17" s="4" t="s">
        <v>358</v>
      </c>
      <c r="AC17" s="3">
        <v>7</v>
      </c>
      <c r="AD17" s="3">
        <v>12</v>
      </c>
      <c r="AE17" s="3">
        <v>23</v>
      </c>
      <c r="AF17" s="3"/>
      <c r="AG17" s="3">
        <v>42</v>
      </c>
    </row>
    <row r="18" spans="1:33" x14ac:dyDescent="0.25">
      <c r="A18" t="s">
        <v>323</v>
      </c>
      <c r="B18" s="1">
        <v>38699</v>
      </c>
      <c r="C18" s="2" t="s">
        <v>291</v>
      </c>
      <c r="D18" s="3"/>
      <c r="E18" s="3"/>
      <c r="F18">
        <f>IF(ISNUMBER(SEARCH("BB",BrachyTxs[[#This Row],[Physicist(s)]])),1,0)</f>
        <v>0</v>
      </c>
      <c r="G18" s="3">
        <f>IF(ISNUMBER(SEARCH("DZ",BrachyTxs[[#This Row],[Physicist(s)]])),1,0)</f>
        <v>0</v>
      </c>
      <c r="H18" s="3">
        <f>IF(ISNUMBER(SEARCH("ZC",BrachyTxs[[#This Row],[Physicist(s)]])),1,0)</f>
        <v>0</v>
      </c>
      <c r="I18" s="3">
        <f>IF(ISNUMBER(SEARCH("DJ",BrachyTxs[[#This Row],[MD(s)]])),1,0)</f>
        <v>0</v>
      </c>
      <c r="J18" s="3">
        <f>IF(ISNUMBER(SEARCH("JS",BrachyTxs[[#This Row],[MD(s)]])),1,0)</f>
        <v>0</v>
      </c>
      <c r="K18" s="3"/>
      <c r="L18" s="3"/>
      <c r="M18" s="3"/>
      <c r="N18" s="3"/>
      <c r="O18" t="b">
        <f>ValidatePatient(BrachyTxs[[#This Row],[Pt]])</f>
        <v>1</v>
      </c>
      <c r="P18" t="b">
        <f>ValidatePhysicists(BrachyTxs[[#This Row],[Physicist(s)]])</f>
        <v>1</v>
      </c>
      <c r="Q18" t="b">
        <f>ValidateMDs(BrachyTxs[[#This Row],[MD(s)]])</f>
        <v>1</v>
      </c>
      <c r="S18" s="3"/>
      <c r="T18" s="5" t="s">
        <v>366</v>
      </c>
      <c r="U18" s="3">
        <v>0</v>
      </c>
      <c r="V18" s="3">
        <v>0</v>
      </c>
      <c r="W18" s="3">
        <v>0</v>
      </c>
      <c r="X18" s="3">
        <v>0</v>
      </c>
      <c r="Y18" s="3">
        <v>1</v>
      </c>
      <c r="Z18" s="8"/>
      <c r="AB18" s="4" t="s">
        <v>359</v>
      </c>
      <c r="AC18" s="3">
        <v>6</v>
      </c>
      <c r="AD18" s="3">
        <v>8</v>
      </c>
      <c r="AE18" s="3">
        <v>16</v>
      </c>
      <c r="AF18" s="3"/>
      <c r="AG18" s="3">
        <v>30</v>
      </c>
    </row>
    <row r="19" spans="1:33" x14ac:dyDescent="0.25">
      <c r="A19" t="s">
        <v>323</v>
      </c>
      <c r="B19" s="1">
        <v>38701</v>
      </c>
      <c r="C19" s="2" t="s">
        <v>127</v>
      </c>
      <c r="D19" s="3"/>
      <c r="E19" s="3"/>
      <c r="F19">
        <f>IF(ISNUMBER(SEARCH("BB",BrachyTxs[[#This Row],[Physicist(s)]])),1,0)</f>
        <v>0</v>
      </c>
      <c r="G19" s="3">
        <f>IF(ISNUMBER(SEARCH("DZ",BrachyTxs[[#This Row],[Physicist(s)]])),1,0)</f>
        <v>0</v>
      </c>
      <c r="H19" s="3">
        <f>IF(ISNUMBER(SEARCH("ZC",BrachyTxs[[#This Row],[Physicist(s)]])),1,0)</f>
        <v>0</v>
      </c>
      <c r="I19" s="3">
        <f>IF(ISNUMBER(SEARCH("DJ",BrachyTxs[[#This Row],[MD(s)]])),1,0)</f>
        <v>0</v>
      </c>
      <c r="J19" s="3">
        <f>IF(ISNUMBER(SEARCH("JS",BrachyTxs[[#This Row],[MD(s)]])),1,0)</f>
        <v>0</v>
      </c>
      <c r="K19" s="3"/>
      <c r="L19" s="3"/>
      <c r="M19" s="3"/>
      <c r="N19" s="3"/>
      <c r="O19" t="b">
        <f>ValidatePatient(BrachyTxs[[#This Row],[Pt]])</f>
        <v>1</v>
      </c>
      <c r="P19" t="b">
        <f>ValidatePhysicists(BrachyTxs[[#This Row],[Physicist(s)]])</f>
        <v>1</v>
      </c>
      <c r="Q19" t="b">
        <f>ValidateMDs(BrachyTxs[[#This Row],[MD(s)]])</f>
        <v>1</v>
      </c>
      <c r="S19" s="3"/>
      <c r="T19" s="4" t="s">
        <v>325</v>
      </c>
      <c r="U19" s="3">
        <v>5</v>
      </c>
      <c r="V19" s="3">
        <v>2</v>
      </c>
      <c r="W19" s="3">
        <v>8</v>
      </c>
      <c r="X19" s="3">
        <v>7</v>
      </c>
      <c r="Y19" s="3">
        <v>1</v>
      </c>
      <c r="Z19" s="8"/>
      <c r="AB19" s="4" t="s">
        <v>360</v>
      </c>
      <c r="AC19" s="3">
        <v>6</v>
      </c>
      <c r="AD19" s="3">
        <v>7</v>
      </c>
      <c r="AE19" s="3">
        <v>11</v>
      </c>
      <c r="AF19" s="3">
        <v>7</v>
      </c>
      <c r="AG19" s="3">
        <v>31</v>
      </c>
    </row>
    <row r="20" spans="1:33" x14ac:dyDescent="0.25">
      <c r="A20" t="s">
        <v>324</v>
      </c>
      <c r="B20" s="1">
        <v>38723</v>
      </c>
      <c r="C20" s="2" t="s">
        <v>260</v>
      </c>
      <c r="D20" s="3"/>
      <c r="E20" s="3"/>
      <c r="F20">
        <f>IF(ISNUMBER(SEARCH("BB",BrachyTxs[[#This Row],[Physicist(s)]])),1,0)</f>
        <v>0</v>
      </c>
      <c r="G20" s="3">
        <f>IF(ISNUMBER(SEARCH("DZ",BrachyTxs[[#This Row],[Physicist(s)]])),1,0)</f>
        <v>0</v>
      </c>
      <c r="H20" s="3">
        <f>IF(ISNUMBER(SEARCH("ZC",BrachyTxs[[#This Row],[Physicist(s)]])),1,0)</f>
        <v>0</v>
      </c>
      <c r="I20" s="3">
        <f>IF(ISNUMBER(SEARCH("DJ",BrachyTxs[[#This Row],[MD(s)]])),1,0)</f>
        <v>0</v>
      </c>
      <c r="J20" s="3">
        <f>IF(ISNUMBER(SEARCH("JS",BrachyTxs[[#This Row],[MD(s)]])),1,0)</f>
        <v>0</v>
      </c>
      <c r="K20" s="3"/>
      <c r="L20" s="3"/>
      <c r="M20" s="3"/>
      <c r="N20" s="3"/>
      <c r="O20" t="b">
        <f>ValidatePatient(BrachyTxs[[#This Row],[Pt]])</f>
        <v>1</v>
      </c>
      <c r="P20" t="b">
        <f>ValidatePhysicists(BrachyTxs[[#This Row],[Physicist(s)]])</f>
        <v>1</v>
      </c>
      <c r="Q20" t="b">
        <f>ValidateMDs(BrachyTxs[[#This Row],[MD(s)]])</f>
        <v>1</v>
      </c>
      <c r="S20" s="3"/>
      <c r="T20" s="5" t="s">
        <v>352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8"/>
      <c r="AB20" s="4" t="s">
        <v>361</v>
      </c>
      <c r="AC20" s="3">
        <v>6</v>
      </c>
      <c r="AD20" s="3">
        <v>5</v>
      </c>
      <c r="AE20" s="3">
        <v>11</v>
      </c>
      <c r="AF20" s="3">
        <v>6</v>
      </c>
      <c r="AG20" s="3">
        <v>28</v>
      </c>
    </row>
    <row r="21" spans="1:33" x14ac:dyDescent="0.25">
      <c r="A21" t="s">
        <v>324</v>
      </c>
      <c r="B21" s="1">
        <v>38762</v>
      </c>
      <c r="C21" s="2" t="s">
        <v>180</v>
      </c>
      <c r="D21" s="3"/>
      <c r="E21" s="3"/>
      <c r="F21">
        <f>IF(ISNUMBER(SEARCH("BB",BrachyTxs[[#This Row],[Physicist(s)]])),1,0)</f>
        <v>0</v>
      </c>
      <c r="G21" s="3">
        <f>IF(ISNUMBER(SEARCH("DZ",BrachyTxs[[#This Row],[Physicist(s)]])),1,0)</f>
        <v>0</v>
      </c>
      <c r="H21" s="3">
        <f>IF(ISNUMBER(SEARCH("ZC",BrachyTxs[[#This Row],[Physicist(s)]])),1,0)</f>
        <v>0</v>
      </c>
      <c r="I21" s="3">
        <f>IF(ISNUMBER(SEARCH("DJ",BrachyTxs[[#This Row],[MD(s)]])),1,0)</f>
        <v>0</v>
      </c>
      <c r="J21" s="3">
        <f>IF(ISNUMBER(SEARCH("JS",BrachyTxs[[#This Row],[MD(s)]])),1,0)</f>
        <v>0</v>
      </c>
      <c r="K21" s="3"/>
      <c r="L21" s="3"/>
      <c r="M21" s="3"/>
      <c r="N21" s="3"/>
      <c r="O21" t="b">
        <f>ValidatePatient(BrachyTxs[[#This Row],[Pt]])</f>
        <v>1</v>
      </c>
      <c r="P21" t="b">
        <f>ValidatePhysicists(BrachyTxs[[#This Row],[Physicist(s)]])</f>
        <v>1</v>
      </c>
      <c r="Q21" t="b">
        <f>ValidateMDs(BrachyTxs[[#This Row],[MD(s)]])</f>
        <v>1</v>
      </c>
      <c r="S21" s="3"/>
      <c r="T21" s="5" t="s">
        <v>353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8"/>
      <c r="AB21" s="4" t="s">
        <v>362</v>
      </c>
      <c r="AC21" s="3">
        <v>11</v>
      </c>
      <c r="AD21" s="3">
        <v>1</v>
      </c>
      <c r="AE21" s="3">
        <v>7</v>
      </c>
      <c r="AF21" s="3">
        <v>2</v>
      </c>
      <c r="AG21" s="3">
        <v>21</v>
      </c>
    </row>
    <row r="22" spans="1:33" x14ac:dyDescent="0.25">
      <c r="A22" t="s">
        <v>325</v>
      </c>
      <c r="B22" s="1">
        <v>38762</v>
      </c>
      <c r="C22" s="2" t="s">
        <v>30</v>
      </c>
      <c r="D22" s="3"/>
      <c r="E22" s="3"/>
      <c r="F22">
        <f>IF(ISNUMBER(SEARCH("BB",BrachyTxs[[#This Row],[Physicist(s)]])),1,0)</f>
        <v>0</v>
      </c>
      <c r="G22" s="3">
        <f>IF(ISNUMBER(SEARCH("DZ",BrachyTxs[[#This Row],[Physicist(s)]])),1,0)</f>
        <v>0</v>
      </c>
      <c r="H22" s="3">
        <f>IF(ISNUMBER(SEARCH("ZC",BrachyTxs[[#This Row],[Physicist(s)]])),1,0)</f>
        <v>0</v>
      </c>
      <c r="I22" s="3">
        <f>IF(ISNUMBER(SEARCH("DJ",BrachyTxs[[#This Row],[MD(s)]])),1,0)</f>
        <v>0</v>
      </c>
      <c r="J22" s="3">
        <f>IF(ISNUMBER(SEARCH("JS",BrachyTxs[[#This Row],[MD(s)]])),1,0)</f>
        <v>0</v>
      </c>
      <c r="K22" s="3"/>
      <c r="L22" s="3"/>
      <c r="M22" s="3"/>
      <c r="N22" s="3"/>
      <c r="O22" t="b">
        <f>ValidatePatient(BrachyTxs[[#This Row],[Pt]])</f>
        <v>1</v>
      </c>
      <c r="P22" t="b">
        <f>ValidatePhysicists(BrachyTxs[[#This Row],[Physicist(s)]])</f>
        <v>1</v>
      </c>
      <c r="Q22" t="b">
        <f>ValidateMDs(BrachyTxs[[#This Row],[MD(s)]])</f>
        <v>1</v>
      </c>
      <c r="S22" s="3"/>
      <c r="T22" s="5" t="s">
        <v>354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8"/>
      <c r="AB22" s="4" t="s">
        <v>363</v>
      </c>
      <c r="AC22" s="3">
        <v>8</v>
      </c>
      <c r="AD22" s="3">
        <v>2</v>
      </c>
      <c r="AE22" s="3">
        <v>6</v>
      </c>
      <c r="AF22" s="3">
        <v>17</v>
      </c>
      <c r="AG22" s="3">
        <v>33</v>
      </c>
    </row>
    <row r="23" spans="1:33" x14ac:dyDescent="0.25">
      <c r="A23" t="s">
        <v>324</v>
      </c>
      <c r="B23" s="1">
        <v>38776</v>
      </c>
      <c r="C23" s="2" t="s">
        <v>180</v>
      </c>
      <c r="D23" s="3"/>
      <c r="E23" s="3"/>
      <c r="F23">
        <f>IF(ISNUMBER(SEARCH("BB",BrachyTxs[[#This Row],[Physicist(s)]])),1,0)</f>
        <v>0</v>
      </c>
      <c r="G23" s="3">
        <f>IF(ISNUMBER(SEARCH("DZ",BrachyTxs[[#This Row],[Physicist(s)]])),1,0)</f>
        <v>0</v>
      </c>
      <c r="H23" s="3">
        <f>IF(ISNUMBER(SEARCH("ZC",BrachyTxs[[#This Row],[Physicist(s)]])),1,0)</f>
        <v>0</v>
      </c>
      <c r="I23" s="3">
        <f>IF(ISNUMBER(SEARCH("DJ",BrachyTxs[[#This Row],[MD(s)]])),1,0)</f>
        <v>0</v>
      </c>
      <c r="J23" s="3">
        <f>IF(ISNUMBER(SEARCH("JS",BrachyTxs[[#This Row],[MD(s)]])),1,0)</f>
        <v>0</v>
      </c>
      <c r="K23" s="3"/>
      <c r="L23" s="3"/>
      <c r="M23" s="3"/>
      <c r="N23" s="3"/>
      <c r="O23" t="b">
        <f>ValidatePatient(BrachyTxs[[#This Row],[Pt]])</f>
        <v>1</v>
      </c>
      <c r="P23" t="b">
        <f>ValidatePhysicists(BrachyTxs[[#This Row],[Physicist(s)]])</f>
        <v>1</v>
      </c>
      <c r="Q23" t="b">
        <f>ValidateMDs(BrachyTxs[[#This Row],[MD(s)]])</f>
        <v>1</v>
      </c>
      <c r="S23" s="3"/>
      <c r="T23" s="5" t="s">
        <v>355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8"/>
      <c r="AB23" s="4" t="s">
        <v>364</v>
      </c>
      <c r="AC23" s="3">
        <v>1</v>
      </c>
      <c r="AD23" s="3">
        <v>3</v>
      </c>
      <c r="AE23" s="3">
        <v>8</v>
      </c>
      <c r="AF23" s="3">
        <v>33</v>
      </c>
      <c r="AG23" s="3">
        <v>45</v>
      </c>
    </row>
    <row r="24" spans="1:33" x14ac:dyDescent="0.25">
      <c r="A24" t="s">
        <v>325</v>
      </c>
      <c r="B24" s="1">
        <v>38790</v>
      </c>
      <c r="C24" s="2" t="s">
        <v>294</v>
      </c>
      <c r="D24" s="3"/>
      <c r="E24" s="3"/>
      <c r="F24">
        <f>IF(ISNUMBER(SEARCH("BB",BrachyTxs[[#This Row],[Physicist(s)]])),1,0)</f>
        <v>0</v>
      </c>
      <c r="G24" s="3">
        <f>IF(ISNUMBER(SEARCH("DZ",BrachyTxs[[#This Row],[Physicist(s)]])),1,0)</f>
        <v>0</v>
      </c>
      <c r="H24" s="3">
        <f>IF(ISNUMBER(SEARCH("ZC",BrachyTxs[[#This Row],[Physicist(s)]])),1,0)</f>
        <v>0</v>
      </c>
      <c r="I24" s="3">
        <f>IF(ISNUMBER(SEARCH("DJ",BrachyTxs[[#This Row],[MD(s)]])),1,0)</f>
        <v>0</v>
      </c>
      <c r="J24" s="3">
        <f>IF(ISNUMBER(SEARCH("JS",BrachyTxs[[#This Row],[MD(s)]])),1,0)</f>
        <v>0</v>
      </c>
      <c r="K24" s="3"/>
      <c r="L24" s="3"/>
      <c r="M24" s="3"/>
      <c r="N24" s="3"/>
      <c r="O24" t="b">
        <f>ValidatePatient(BrachyTxs[[#This Row],[Pt]])</f>
        <v>1</v>
      </c>
      <c r="P24" t="b">
        <f>ValidatePhysicists(BrachyTxs[[#This Row],[Physicist(s)]])</f>
        <v>1</v>
      </c>
      <c r="Q24" t="b">
        <f>ValidateMDs(BrachyTxs[[#This Row],[MD(s)]])</f>
        <v>1</v>
      </c>
      <c r="S24" s="3"/>
      <c r="T24" s="5" t="s">
        <v>356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8"/>
      <c r="AB24" s="4" t="s">
        <v>365</v>
      </c>
      <c r="AC24" s="3">
        <v>5</v>
      </c>
      <c r="AD24" s="3">
        <v>4</v>
      </c>
      <c r="AE24" s="3">
        <v>8</v>
      </c>
      <c r="AF24" s="3">
        <v>11</v>
      </c>
      <c r="AG24" s="3">
        <v>28</v>
      </c>
    </row>
    <row r="25" spans="1:33" x14ac:dyDescent="0.25">
      <c r="A25" t="s">
        <v>325</v>
      </c>
      <c r="B25" s="1">
        <v>38800</v>
      </c>
      <c r="C25" s="2" t="s">
        <v>33</v>
      </c>
      <c r="D25" s="3"/>
      <c r="E25" s="3"/>
      <c r="F25">
        <f>IF(ISNUMBER(SEARCH("BB",BrachyTxs[[#This Row],[Physicist(s)]])),1,0)</f>
        <v>0</v>
      </c>
      <c r="G25" s="3">
        <f>IF(ISNUMBER(SEARCH("DZ",BrachyTxs[[#This Row],[Physicist(s)]])),1,0)</f>
        <v>0</v>
      </c>
      <c r="H25" s="3">
        <f>IF(ISNUMBER(SEARCH("ZC",BrachyTxs[[#This Row],[Physicist(s)]])),1,0)</f>
        <v>0</v>
      </c>
      <c r="I25" s="3">
        <f>IF(ISNUMBER(SEARCH("DJ",BrachyTxs[[#This Row],[MD(s)]])),1,0)</f>
        <v>0</v>
      </c>
      <c r="J25" s="3">
        <f>IF(ISNUMBER(SEARCH("JS",BrachyTxs[[#This Row],[MD(s)]])),1,0)</f>
        <v>0</v>
      </c>
      <c r="K25" s="3"/>
      <c r="L25" s="3"/>
      <c r="M25" s="3"/>
      <c r="N25" s="3"/>
      <c r="O25" t="b">
        <f>ValidatePatient(BrachyTxs[[#This Row],[Pt]])</f>
        <v>1</v>
      </c>
      <c r="P25" t="b">
        <f>ValidatePhysicists(BrachyTxs[[#This Row],[Physicist(s)]])</f>
        <v>1</v>
      </c>
      <c r="Q25" t="b">
        <f>ValidateMDs(BrachyTxs[[#This Row],[MD(s)]])</f>
        <v>1</v>
      </c>
      <c r="S25" s="3"/>
      <c r="T25" s="5" t="s">
        <v>357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8"/>
      <c r="AB25" s="4" t="s">
        <v>366</v>
      </c>
      <c r="AC25" s="3">
        <v>3</v>
      </c>
      <c r="AD25" s="3">
        <v>3</v>
      </c>
      <c r="AE25" s="3">
        <v>8</v>
      </c>
      <c r="AF25" s="3">
        <v>6</v>
      </c>
      <c r="AG25" s="3">
        <v>20</v>
      </c>
    </row>
    <row r="26" spans="1:33" x14ac:dyDescent="0.25">
      <c r="A26" t="s">
        <v>323</v>
      </c>
      <c r="B26" s="1">
        <v>38814</v>
      </c>
      <c r="C26" s="2" t="s">
        <v>137</v>
      </c>
      <c r="D26" s="3"/>
      <c r="E26" s="3"/>
      <c r="F26">
        <f>IF(ISNUMBER(SEARCH("BB",BrachyTxs[[#This Row],[Physicist(s)]])),1,0)</f>
        <v>0</v>
      </c>
      <c r="G26" s="3">
        <f>IF(ISNUMBER(SEARCH("DZ",BrachyTxs[[#This Row],[Physicist(s)]])),1,0)</f>
        <v>0</v>
      </c>
      <c r="H26" s="3">
        <f>IF(ISNUMBER(SEARCH("ZC",BrachyTxs[[#This Row],[Physicist(s)]])),1,0)</f>
        <v>0</v>
      </c>
      <c r="I26" s="3">
        <f>IF(ISNUMBER(SEARCH("DJ",BrachyTxs[[#This Row],[MD(s)]])),1,0)</f>
        <v>0</v>
      </c>
      <c r="J26" s="3">
        <f>IF(ISNUMBER(SEARCH("JS",BrachyTxs[[#This Row],[MD(s)]])),1,0)</f>
        <v>0</v>
      </c>
      <c r="K26" s="3"/>
      <c r="L26" s="3"/>
      <c r="M26" s="3"/>
      <c r="N26" s="3"/>
      <c r="O26" t="b">
        <f>ValidatePatient(BrachyTxs[[#This Row],[Pt]])</f>
        <v>1</v>
      </c>
      <c r="P26" t="b">
        <f>ValidatePhysicists(BrachyTxs[[#This Row],[Physicist(s)]])</f>
        <v>1</v>
      </c>
      <c r="Q26" t="b">
        <f>ValidateMDs(BrachyTxs[[#This Row],[MD(s)]])</f>
        <v>1</v>
      </c>
      <c r="S26" s="3"/>
      <c r="T26" s="5" t="s">
        <v>358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8"/>
      <c r="AB26" s="4" t="s">
        <v>367</v>
      </c>
      <c r="AC26" s="3"/>
      <c r="AD26" s="3">
        <v>5</v>
      </c>
      <c r="AE26" s="3">
        <v>9</v>
      </c>
      <c r="AF26" s="3">
        <v>6</v>
      </c>
      <c r="AG26" s="3">
        <v>20</v>
      </c>
    </row>
    <row r="27" spans="1:33" x14ac:dyDescent="0.25">
      <c r="A27" t="s">
        <v>324</v>
      </c>
      <c r="B27" s="1">
        <v>38860</v>
      </c>
      <c r="C27" s="2" t="s">
        <v>389</v>
      </c>
      <c r="D27" s="3"/>
      <c r="E27" s="3"/>
      <c r="F27">
        <f>IF(ISNUMBER(SEARCH("BB",BrachyTxs[[#This Row],[Physicist(s)]])),1,0)</f>
        <v>0</v>
      </c>
      <c r="G27" s="3">
        <f>IF(ISNUMBER(SEARCH("DZ",BrachyTxs[[#This Row],[Physicist(s)]])),1,0)</f>
        <v>0</v>
      </c>
      <c r="H27" s="3">
        <f>IF(ISNUMBER(SEARCH("ZC",BrachyTxs[[#This Row],[Physicist(s)]])),1,0)</f>
        <v>0</v>
      </c>
      <c r="I27" s="3">
        <f>IF(ISNUMBER(SEARCH("DJ",BrachyTxs[[#This Row],[MD(s)]])),1,0)</f>
        <v>0</v>
      </c>
      <c r="J27" s="3">
        <f>IF(ISNUMBER(SEARCH("JS",BrachyTxs[[#This Row],[MD(s)]])),1,0)</f>
        <v>0</v>
      </c>
      <c r="K27" s="3"/>
      <c r="L27" s="3"/>
      <c r="M27" s="3"/>
      <c r="N27" s="3"/>
      <c r="O27" t="b">
        <f>ValidatePatient(BrachyTxs[[#This Row],[Pt]])</f>
        <v>0</v>
      </c>
      <c r="P27" t="b">
        <f>ValidatePhysicists(BrachyTxs[[#This Row],[Physicist(s)]])</f>
        <v>1</v>
      </c>
      <c r="Q27" t="b">
        <f>ValidateMDs(BrachyTxs[[#This Row],[MD(s)]])</f>
        <v>1</v>
      </c>
      <c r="S27" s="3"/>
      <c r="T27" s="5" t="s">
        <v>359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8"/>
      <c r="AB27" s="4" t="s">
        <v>368</v>
      </c>
      <c r="AC27" s="3"/>
      <c r="AD27" s="3">
        <v>3</v>
      </c>
      <c r="AE27" s="3">
        <v>7</v>
      </c>
      <c r="AF27" s="3">
        <v>14</v>
      </c>
      <c r="AG27" s="3">
        <v>24</v>
      </c>
    </row>
    <row r="28" spans="1:33" x14ac:dyDescent="0.25">
      <c r="A28" t="s">
        <v>325</v>
      </c>
      <c r="B28" s="1">
        <v>38863</v>
      </c>
      <c r="C28" s="2" t="s">
        <v>138</v>
      </c>
      <c r="D28" s="3"/>
      <c r="E28" s="3"/>
      <c r="F28">
        <f>IF(ISNUMBER(SEARCH("BB",BrachyTxs[[#This Row],[Physicist(s)]])),1,0)</f>
        <v>0</v>
      </c>
      <c r="G28" s="3">
        <f>IF(ISNUMBER(SEARCH("DZ",BrachyTxs[[#This Row],[Physicist(s)]])),1,0)</f>
        <v>0</v>
      </c>
      <c r="H28" s="3">
        <f>IF(ISNUMBER(SEARCH("ZC",BrachyTxs[[#This Row],[Physicist(s)]])),1,0)</f>
        <v>0</v>
      </c>
      <c r="I28" s="3">
        <f>IF(ISNUMBER(SEARCH("DJ",BrachyTxs[[#This Row],[MD(s)]])),1,0)</f>
        <v>0</v>
      </c>
      <c r="J28" s="3">
        <f>IF(ISNUMBER(SEARCH("JS",BrachyTxs[[#This Row],[MD(s)]])),1,0)</f>
        <v>0</v>
      </c>
      <c r="K28" s="3"/>
      <c r="L28" s="3"/>
      <c r="M28" s="3"/>
      <c r="N28" s="3"/>
      <c r="O28" t="b">
        <f>ValidatePatient(BrachyTxs[[#This Row],[Pt]])</f>
        <v>1</v>
      </c>
      <c r="P28" t="b">
        <f>ValidatePhysicists(BrachyTxs[[#This Row],[Physicist(s)]])</f>
        <v>1</v>
      </c>
      <c r="Q28" t="b">
        <f>ValidateMDs(BrachyTxs[[#This Row],[MD(s)]])</f>
        <v>1</v>
      </c>
      <c r="S28" s="3"/>
      <c r="T28" s="5" t="s">
        <v>360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8"/>
      <c r="AB28" s="4" t="s">
        <v>369</v>
      </c>
      <c r="AC28" s="3"/>
      <c r="AD28" s="3">
        <v>3</v>
      </c>
      <c r="AE28" s="3">
        <v>2</v>
      </c>
      <c r="AF28" s="3"/>
      <c r="AG28" s="3">
        <v>5</v>
      </c>
    </row>
    <row r="29" spans="1:33" x14ac:dyDescent="0.25">
      <c r="A29" t="s">
        <v>324</v>
      </c>
      <c r="B29" s="1">
        <v>38868</v>
      </c>
      <c r="C29" s="2" t="s">
        <v>167</v>
      </c>
      <c r="D29" s="3"/>
      <c r="E29" s="3"/>
      <c r="F29">
        <f>IF(ISNUMBER(SEARCH("BB",BrachyTxs[[#This Row],[Physicist(s)]])),1,0)</f>
        <v>0</v>
      </c>
      <c r="G29" s="3">
        <f>IF(ISNUMBER(SEARCH("DZ",BrachyTxs[[#This Row],[Physicist(s)]])),1,0)</f>
        <v>0</v>
      </c>
      <c r="H29" s="3">
        <f>IF(ISNUMBER(SEARCH("ZC",BrachyTxs[[#This Row],[Physicist(s)]])),1,0)</f>
        <v>0</v>
      </c>
      <c r="I29" s="3">
        <f>IF(ISNUMBER(SEARCH("DJ",BrachyTxs[[#This Row],[MD(s)]])),1,0)</f>
        <v>0</v>
      </c>
      <c r="J29" s="3">
        <f>IF(ISNUMBER(SEARCH("JS",BrachyTxs[[#This Row],[MD(s)]])),1,0)</f>
        <v>0</v>
      </c>
      <c r="K29" s="3"/>
      <c r="L29" s="3"/>
      <c r="M29" s="3"/>
      <c r="N29" s="3"/>
      <c r="O29" t="b">
        <f>ValidatePatient(BrachyTxs[[#This Row],[Pt]])</f>
        <v>1</v>
      </c>
      <c r="P29" t="b">
        <f>ValidatePhysicists(BrachyTxs[[#This Row],[Physicist(s)]])</f>
        <v>1</v>
      </c>
      <c r="Q29" t="b">
        <f>ValidateMDs(BrachyTxs[[#This Row],[MD(s)]])</f>
        <v>1</v>
      </c>
      <c r="S29" s="3"/>
      <c r="T29" s="5" t="s">
        <v>361</v>
      </c>
      <c r="U29" s="3">
        <v>0</v>
      </c>
      <c r="V29" s="3">
        <v>0</v>
      </c>
      <c r="W29" s="3">
        <v>0</v>
      </c>
      <c r="X29" s="3">
        <v>0</v>
      </c>
      <c r="Y29" s="3">
        <v>0</v>
      </c>
      <c r="Z29" s="8"/>
      <c r="AB29" s="4" t="s">
        <v>351</v>
      </c>
      <c r="AC29" s="3">
        <v>101</v>
      </c>
      <c r="AD29" s="3">
        <v>106</v>
      </c>
      <c r="AE29" s="3">
        <v>180</v>
      </c>
      <c r="AF29" s="3">
        <v>102</v>
      </c>
      <c r="AG29" s="3">
        <v>489</v>
      </c>
    </row>
    <row r="30" spans="1:33" x14ac:dyDescent="0.25">
      <c r="A30" t="s">
        <v>325</v>
      </c>
      <c r="B30" s="1">
        <v>38873</v>
      </c>
      <c r="C30" s="2" t="s">
        <v>237</v>
      </c>
      <c r="D30" s="3"/>
      <c r="E30" s="3"/>
      <c r="F30">
        <f>IF(ISNUMBER(SEARCH("BB",BrachyTxs[[#This Row],[Physicist(s)]])),1,0)</f>
        <v>0</v>
      </c>
      <c r="G30" s="3">
        <f>IF(ISNUMBER(SEARCH("DZ",BrachyTxs[[#This Row],[Physicist(s)]])),1,0)</f>
        <v>0</v>
      </c>
      <c r="H30" s="3">
        <f>IF(ISNUMBER(SEARCH("ZC",BrachyTxs[[#This Row],[Physicist(s)]])),1,0)</f>
        <v>0</v>
      </c>
      <c r="I30" s="3">
        <f>IF(ISNUMBER(SEARCH("DJ",BrachyTxs[[#This Row],[MD(s)]])),1,0)</f>
        <v>0</v>
      </c>
      <c r="J30" s="3">
        <f>IF(ISNUMBER(SEARCH("JS",BrachyTxs[[#This Row],[MD(s)]])),1,0)</f>
        <v>0</v>
      </c>
      <c r="K30" s="3"/>
      <c r="L30" s="3"/>
      <c r="M30" s="3"/>
      <c r="N30" s="3"/>
      <c r="O30" t="b">
        <f>ValidatePatient(BrachyTxs[[#This Row],[Pt]])</f>
        <v>1</v>
      </c>
      <c r="P30" t="b">
        <f>ValidatePhysicists(BrachyTxs[[#This Row],[Physicist(s)]])</f>
        <v>1</v>
      </c>
      <c r="Q30" t="b">
        <f>ValidateMDs(BrachyTxs[[#This Row],[MD(s)]])</f>
        <v>1</v>
      </c>
      <c r="S30" s="3"/>
      <c r="T30" s="5" t="s">
        <v>362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8"/>
    </row>
    <row r="31" spans="1:33" x14ac:dyDescent="0.25">
      <c r="A31" t="s">
        <v>324</v>
      </c>
      <c r="B31" s="1">
        <v>38874</v>
      </c>
      <c r="C31" s="2" t="s">
        <v>95</v>
      </c>
      <c r="D31" s="3"/>
      <c r="E31" s="3"/>
      <c r="F31">
        <f>IF(ISNUMBER(SEARCH("BB",BrachyTxs[[#This Row],[Physicist(s)]])),1,0)</f>
        <v>0</v>
      </c>
      <c r="G31" s="3">
        <f>IF(ISNUMBER(SEARCH("DZ",BrachyTxs[[#This Row],[Physicist(s)]])),1,0)</f>
        <v>0</v>
      </c>
      <c r="H31" s="3">
        <f>IF(ISNUMBER(SEARCH("ZC",BrachyTxs[[#This Row],[Physicist(s)]])),1,0)</f>
        <v>0</v>
      </c>
      <c r="I31" s="3">
        <f>IF(ISNUMBER(SEARCH("DJ",BrachyTxs[[#This Row],[MD(s)]])),1,0)</f>
        <v>0</v>
      </c>
      <c r="J31" s="3">
        <f>IF(ISNUMBER(SEARCH("JS",BrachyTxs[[#This Row],[MD(s)]])),1,0)</f>
        <v>0</v>
      </c>
      <c r="K31" s="3"/>
      <c r="L31" s="3"/>
      <c r="M31" s="3"/>
      <c r="N31" s="3"/>
      <c r="O31" t="b">
        <f>ValidatePatient(BrachyTxs[[#This Row],[Pt]])</f>
        <v>1</v>
      </c>
      <c r="P31" t="b">
        <f>ValidatePhysicists(BrachyTxs[[#This Row],[Physicist(s)]])</f>
        <v>1</v>
      </c>
      <c r="Q31" t="b">
        <f>ValidateMDs(BrachyTxs[[#This Row],[MD(s)]])</f>
        <v>1</v>
      </c>
      <c r="S31" s="3"/>
      <c r="T31" s="5" t="s">
        <v>363</v>
      </c>
      <c r="U31" s="3">
        <v>0</v>
      </c>
      <c r="V31" s="3">
        <v>0</v>
      </c>
      <c r="W31" s="3">
        <v>0</v>
      </c>
      <c r="X31" s="3">
        <v>0</v>
      </c>
      <c r="Y31" s="3">
        <v>0</v>
      </c>
      <c r="Z31" s="8"/>
    </row>
    <row r="32" spans="1:33" x14ac:dyDescent="0.25">
      <c r="A32" t="s">
        <v>323</v>
      </c>
      <c r="B32" s="1">
        <v>38884</v>
      </c>
      <c r="C32" s="2" t="s">
        <v>297</v>
      </c>
      <c r="D32" s="3"/>
      <c r="E32" s="3"/>
      <c r="F32">
        <f>IF(ISNUMBER(SEARCH("BB",BrachyTxs[[#This Row],[Physicist(s)]])),1,0)</f>
        <v>0</v>
      </c>
      <c r="G32" s="3">
        <f>IF(ISNUMBER(SEARCH("DZ",BrachyTxs[[#This Row],[Physicist(s)]])),1,0)</f>
        <v>0</v>
      </c>
      <c r="H32" s="3">
        <f>IF(ISNUMBER(SEARCH("ZC",BrachyTxs[[#This Row],[Physicist(s)]])),1,0)</f>
        <v>0</v>
      </c>
      <c r="I32" s="3">
        <f>IF(ISNUMBER(SEARCH("DJ",BrachyTxs[[#This Row],[MD(s)]])),1,0)</f>
        <v>0</v>
      </c>
      <c r="J32" s="3">
        <f>IF(ISNUMBER(SEARCH("JS",BrachyTxs[[#This Row],[MD(s)]])),1,0)</f>
        <v>0</v>
      </c>
      <c r="K32" s="3"/>
      <c r="L32" s="3"/>
      <c r="M32" s="3"/>
      <c r="N32" s="3"/>
      <c r="O32" t="b">
        <f>ValidatePatient(BrachyTxs[[#This Row],[Pt]])</f>
        <v>1</v>
      </c>
      <c r="P32" t="b">
        <f>ValidatePhysicists(BrachyTxs[[#This Row],[Physicist(s)]])</f>
        <v>1</v>
      </c>
      <c r="Q32" t="b">
        <f>ValidateMDs(BrachyTxs[[#This Row],[MD(s)]])</f>
        <v>1</v>
      </c>
      <c r="S32" s="3"/>
      <c r="T32" s="5" t="s">
        <v>364</v>
      </c>
      <c r="U32" s="3">
        <v>0</v>
      </c>
      <c r="V32" s="3">
        <v>0</v>
      </c>
      <c r="W32" s="3">
        <v>0</v>
      </c>
      <c r="X32" s="3">
        <v>0</v>
      </c>
      <c r="Y32" s="3">
        <v>0</v>
      </c>
      <c r="Z32" s="8"/>
    </row>
    <row r="33" spans="1:26" x14ac:dyDescent="0.25">
      <c r="A33" t="s">
        <v>323</v>
      </c>
      <c r="B33" s="1">
        <v>38889</v>
      </c>
      <c r="C33" s="2" t="s">
        <v>288</v>
      </c>
      <c r="D33" s="3"/>
      <c r="E33" s="3"/>
      <c r="F33">
        <f>IF(ISNUMBER(SEARCH("BB",BrachyTxs[[#This Row],[Physicist(s)]])),1,0)</f>
        <v>0</v>
      </c>
      <c r="G33" s="3">
        <f>IF(ISNUMBER(SEARCH("DZ",BrachyTxs[[#This Row],[Physicist(s)]])),1,0)</f>
        <v>0</v>
      </c>
      <c r="H33" s="3">
        <f>IF(ISNUMBER(SEARCH("ZC",BrachyTxs[[#This Row],[Physicist(s)]])),1,0)</f>
        <v>0</v>
      </c>
      <c r="I33" s="3">
        <f>IF(ISNUMBER(SEARCH("DJ",BrachyTxs[[#This Row],[MD(s)]])),1,0)</f>
        <v>0</v>
      </c>
      <c r="J33" s="3">
        <f>IF(ISNUMBER(SEARCH("JS",BrachyTxs[[#This Row],[MD(s)]])),1,0)</f>
        <v>0</v>
      </c>
      <c r="K33" s="3"/>
      <c r="L33" s="3"/>
      <c r="M33" s="3"/>
      <c r="N33" s="3"/>
      <c r="O33" t="b">
        <f>ValidatePatient(BrachyTxs[[#This Row],[Pt]])</f>
        <v>1</v>
      </c>
      <c r="P33" t="b">
        <f>ValidatePhysicists(BrachyTxs[[#This Row],[Physicist(s)]])</f>
        <v>1</v>
      </c>
      <c r="Q33" t="b">
        <f>ValidateMDs(BrachyTxs[[#This Row],[MD(s)]])</f>
        <v>1</v>
      </c>
      <c r="S33" s="3"/>
      <c r="T33" s="5" t="s">
        <v>365</v>
      </c>
      <c r="U33" s="3">
        <v>0</v>
      </c>
      <c r="V33" s="3">
        <v>0</v>
      </c>
      <c r="W33" s="3">
        <v>0</v>
      </c>
      <c r="X33" s="3">
        <v>0</v>
      </c>
      <c r="Y33" s="3">
        <v>1</v>
      </c>
      <c r="Z33" s="8"/>
    </row>
    <row r="34" spans="1:26" x14ac:dyDescent="0.25">
      <c r="A34" t="s">
        <v>323</v>
      </c>
      <c r="B34" s="1">
        <v>38890</v>
      </c>
      <c r="C34" s="2" t="s">
        <v>207</v>
      </c>
      <c r="D34" s="3"/>
      <c r="E34" s="3"/>
      <c r="F34">
        <f>IF(ISNUMBER(SEARCH("BB",BrachyTxs[[#This Row],[Physicist(s)]])),1,0)</f>
        <v>0</v>
      </c>
      <c r="G34" s="3">
        <f>IF(ISNUMBER(SEARCH("DZ",BrachyTxs[[#This Row],[Physicist(s)]])),1,0)</f>
        <v>0</v>
      </c>
      <c r="H34" s="3">
        <f>IF(ISNUMBER(SEARCH("ZC",BrachyTxs[[#This Row],[Physicist(s)]])),1,0)</f>
        <v>0</v>
      </c>
      <c r="I34" s="3">
        <f>IF(ISNUMBER(SEARCH("DJ",BrachyTxs[[#This Row],[MD(s)]])),1,0)</f>
        <v>0</v>
      </c>
      <c r="J34" s="3">
        <f>IF(ISNUMBER(SEARCH("JS",BrachyTxs[[#This Row],[MD(s)]])),1,0)</f>
        <v>0</v>
      </c>
      <c r="K34" s="3"/>
      <c r="L34" s="3"/>
      <c r="M34" s="3"/>
      <c r="N34" s="3"/>
      <c r="O34" t="b">
        <f>ValidatePatient(BrachyTxs[[#This Row],[Pt]])</f>
        <v>1</v>
      </c>
      <c r="P34" t="b">
        <f>ValidatePhysicists(BrachyTxs[[#This Row],[Physicist(s)]])</f>
        <v>1</v>
      </c>
      <c r="Q34" t="b">
        <f>ValidateMDs(BrachyTxs[[#This Row],[MD(s)]])</f>
        <v>1</v>
      </c>
      <c r="S34" s="3"/>
      <c r="T34" s="5" t="s">
        <v>366</v>
      </c>
      <c r="U34" s="3">
        <v>1</v>
      </c>
      <c r="V34" s="3">
        <v>0</v>
      </c>
      <c r="W34" s="3">
        <v>0</v>
      </c>
      <c r="X34" s="3">
        <v>0</v>
      </c>
      <c r="Y34" s="3">
        <v>0</v>
      </c>
      <c r="Z34" s="8"/>
    </row>
    <row r="35" spans="1:26" x14ac:dyDescent="0.25">
      <c r="A35" t="s">
        <v>324</v>
      </c>
      <c r="B35" s="1">
        <v>38911</v>
      </c>
      <c r="C35" s="2" t="s">
        <v>262</v>
      </c>
      <c r="D35" s="3"/>
      <c r="E35" s="3"/>
      <c r="F35">
        <f>IF(ISNUMBER(SEARCH("BB",BrachyTxs[[#This Row],[Physicist(s)]])),1,0)</f>
        <v>0</v>
      </c>
      <c r="G35" s="3">
        <f>IF(ISNUMBER(SEARCH("DZ",BrachyTxs[[#This Row],[Physicist(s)]])),1,0)</f>
        <v>0</v>
      </c>
      <c r="H35" s="3">
        <f>IF(ISNUMBER(SEARCH("ZC",BrachyTxs[[#This Row],[Physicist(s)]])),1,0)</f>
        <v>0</v>
      </c>
      <c r="I35" s="3">
        <f>IF(ISNUMBER(SEARCH("DJ",BrachyTxs[[#This Row],[MD(s)]])),1,0)</f>
        <v>0</v>
      </c>
      <c r="J35" s="3">
        <f>IF(ISNUMBER(SEARCH("JS",BrachyTxs[[#This Row],[MD(s)]])),1,0)</f>
        <v>0</v>
      </c>
      <c r="K35" s="3"/>
      <c r="L35" s="3"/>
      <c r="M35" s="3"/>
      <c r="N35" s="3"/>
      <c r="O35" t="b">
        <f>ValidatePatient(BrachyTxs[[#This Row],[Pt]])</f>
        <v>1</v>
      </c>
      <c r="P35" t="b">
        <f>ValidatePhysicists(BrachyTxs[[#This Row],[Physicist(s)]])</f>
        <v>1</v>
      </c>
      <c r="Q35" t="b">
        <f>ValidateMDs(BrachyTxs[[#This Row],[MD(s)]])</f>
        <v>1</v>
      </c>
      <c r="S35" s="3"/>
      <c r="T35" s="5" t="s">
        <v>367</v>
      </c>
      <c r="U35" s="3">
        <v>3</v>
      </c>
      <c r="V35" s="3">
        <v>0</v>
      </c>
      <c r="W35" s="3">
        <v>3</v>
      </c>
      <c r="X35" s="3">
        <v>1</v>
      </c>
      <c r="Y35" s="3">
        <v>0</v>
      </c>
      <c r="Z35" s="8"/>
    </row>
    <row r="36" spans="1:26" x14ac:dyDescent="0.25">
      <c r="A36" t="s">
        <v>323</v>
      </c>
      <c r="B36" s="1">
        <v>38919</v>
      </c>
      <c r="C36" s="2" t="s">
        <v>12</v>
      </c>
      <c r="D36" s="3"/>
      <c r="E36" s="3"/>
      <c r="F36">
        <f>IF(ISNUMBER(SEARCH("BB",BrachyTxs[[#This Row],[Physicist(s)]])),1,0)</f>
        <v>0</v>
      </c>
      <c r="G36" s="3">
        <f>IF(ISNUMBER(SEARCH("DZ",BrachyTxs[[#This Row],[Physicist(s)]])),1,0)</f>
        <v>0</v>
      </c>
      <c r="H36" s="3">
        <f>IF(ISNUMBER(SEARCH("ZC",BrachyTxs[[#This Row],[Physicist(s)]])),1,0)</f>
        <v>0</v>
      </c>
      <c r="I36" s="3">
        <f>IF(ISNUMBER(SEARCH("DJ",BrachyTxs[[#This Row],[MD(s)]])),1,0)</f>
        <v>0</v>
      </c>
      <c r="J36" s="3">
        <f>IF(ISNUMBER(SEARCH("JS",BrachyTxs[[#This Row],[MD(s)]])),1,0)</f>
        <v>0</v>
      </c>
      <c r="K36" s="3"/>
      <c r="L36" s="3"/>
      <c r="M36" s="3"/>
      <c r="N36" s="3"/>
      <c r="O36" t="b">
        <f>ValidatePatient(BrachyTxs[[#This Row],[Pt]])</f>
        <v>1</v>
      </c>
      <c r="P36" t="b">
        <f>ValidatePhysicists(BrachyTxs[[#This Row],[Physicist(s)]])</f>
        <v>1</v>
      </c>
      <c r="Q36" t="b">
        <f>ValidateMDs(BrachyTxs[[#This Row],[MD(s)]])</f>
        <v>1</v>
      </c>
      <c r="S36" s="3"/>
      <c r="T36" s="5" t="s">
        <v>368</v>
      </c>
      <c r="U36" s="3">
        <v>1</v>
      </c>
      <c r="V36" s="3">
        <v>1</v>
      </c>
      <c r="W36" s="3">
        <v>3</v>
      </c>
      <c r="X36" s="3">
        <v>3</v>
      </c>
      <c r="Y36" s="3">
        <v>0</v>
      </c>
      <c r="Z36" s="8"/>
    </row>
    <row r="37" spans="1:26" x14ac:dyDescent="0.25">
      <c r="A37" t="s">
        <v>325</v>
      </c>
      <c r="B37" s="1">
        <v>38922</v>
      </c>
      <c r="C37" s="2" t="s">
        <v>12</v>
      </c>
      <c r="D37" s="3"/>
      <c r="E37" s="3"/>
      <c r="F37">
        <f>IF(ISNUMBER(SEARCH("BB",BrachyTxs[[#This Row],[Physicist(s)]])),1,0)</f>
        <v>0</v>
      </c>
      <c r="G37" s="3">
        <f>IF(ISNUMBER(SEARCH("DZ",BrachyTxs[[#This Row],[Physicist(s)]])),1,0)</f>
        <v>0</v>
      </c>
      <c r="H37" s="3">
        <f>IF(ISNUMBER(SEARCH("ZC",BrachyTxs[[#This Row],[Physicist(s)]])),1,0)</f>
        <v>0</v>
      </c>
      <c r="I37" s="3">
        <f>IF(ISNUMBER(SEARCH("DJ",BrachyTxs[[#This Row],[MD(s)]])),1,0)</f>
        <v>0</v>
      </c>
      <c r="J37" s="3">
        <f>IF(ISNUMBER(SEARCH("JS",BrachyTxs[[#This Row],[MD(s)]])),1,0)</f>
        <v>0</v>
      </c>
      <c r="K37" s="3"/>
      <c r="L37" s="3"/>
      <c r="M37" s="3"/>
      <c r="N37" s="3"/>
      <c r="O37" t="b">
        <f>ValidatePatient(BrachyTxs[[#This Row],[Pt]])</f>
        <v>1</v>
      </c>
      <c r="P37" t="b">
        <f>ValidatePhysicists(BrachyTxs[[#This Row],[Physicist(s)]])</f>
        <v>1</v>
      </c>
      <c r="Q37" t="b">
        <f>ValidateMDs(BrachyTxs[[#This Row],[MD(s)]])</f>
        <v>1</v>
      </c>
      <c r="S37" s="3"/>
      <c r="T37" s="5" t="s">
        <v>369</v>
      </c>
      <c r="U37" s="3">
        <v>0</v>
      </c>
      <c r="V37" s="3">
        <v>1</v>
      </c>
      <c r="W37" s="3">
        <v>2</v>
      </c>
      <c r="X37" s="3">
        <v>3</v>
      </c>
      <c r="Y37" s="3">
        <v>0</v>
      </c>
      <c r="Z37" s="8"/>
    </row>
    <row r="38" spans="1:26" x14ac:dyDescent="0.25">
      <c r="A38" t="s">
        <v>323</v>
      </c>
      <c r="B38" s="1">
        <v>38923</v>
      </c>
      <c r="C38" s="2" t="s">
        <v>120</v>
      </c>
      <c r="D38" s="3"/>
      <c r="E38" s="3"/>
      <c r="F38">
        <f>IF(ISNUMBER(SEARCH("BB",BrachyTxs[[#This Row],[Physicist(s)]])),1,0)</f>
        <v>0</v>
      </c>
      <c r="G38" s="3">
        <f>IF(ISNUMBER(SEARCH("DZ",BrachyTxs[[#This Row],[Physicist(s)]])),1,0)</f>
        <v>0</v>
      </c>
      <c r="H38" s="3">
        <f>IF(ISNUMBER(SEARCH("ZC",BrachyTxs[[#This Row],[Physicist(s)]])),1,0)</f>
        <v>0</v>
      </c>
      <c r="I38" s="3">
        <f>IF(ISNUMBER(SEARCH("DJ",BrachyTxs[[#This Row],[MD(s)]])),1,0)</f>
        <v>0</v>
      </c>
      <c r="J38" s="3">
        <f>IF(ISNUMBER(SEARCH("JS",BrachyTxs[[#This Row],[MD(s)]])),1,0)</f>
        <v>0</v>
      </c>
      <c r="K38" s="3"/>
      <c r="L38" s="3"/>
      <c r="M38" s="3"/>
      <c r="N38" s="3"/>
      <c r="O38" t="b">
        <f>ValidatePatient(BrachyTxs[[#This Row],[Pt]])</f>
        <v>1</v>
      </c>
      <c r="P38" t="b">
        <f>ValidatePhysicists(BrachyTxs[[#This Row],[Physicist(s)]])</f>
        <v>1</v>
      </c>
      <c r="Q38" t="b">
        <f>ValidateMDs(BrachyTxs[[#This Row],[MD(s)]])</f>
        <v>1</v>
      </c>
      <c r="S38" s="3"/>
      <c r="T38" s="4" t="s">
        <v>323</v>
      </c>
      <c r="U38" s="3">
        <v>1</v>
      </c>
      <c r="V38" s="3">
        <v>0</v>
      </c>
      <c r="W38" s="3">
        <v>0</v>
      </c>
      <c r="X38" s="3">
        <v>2</v>
      </c>
      <c r="Y38" s="3">
        <v>0</v>
      </c>
      <c r="Z38" s="8"/>
    </row>
    <row r="39" spans="1:26" x14ac:dyDescent="0.25">
      <c r="A39" t="s">
        <v>323</v>
      </c>
      <c r="B39" s="1">
        <v>38925</v>
      </c>
      <c r="C39" s="2" t="s">
        <v>14</v>
      </c>
      <c r="D39" s="3"/>
      <c r="E39" s="3"/>
      <c r="F39">
        <f>IF(ISNUMBER(SEARCH("BB",BrachyTxs[[#This Row],[Physicist(s)]])),1,0)</f>
        <v>0</v>
      </c>
      <c r="G39" s="3">
        <f>IF(ISNUMBER(SEARCH("DZ",BrachyTxs[[#This Row],[Physicist(s)]])),1,0)</f>
        <v>0</v>
      </c>
      <c r="H39" s="3">
        <f>IF(ISNUMBER(SEARCH("ZC",BrachyTxs[[#This Row],[Physicist(s)]])),1,0)</f>
        <v>0</v>
      </c>
      <c r="I39" s="3">
        <f>IF(ISNUMBER(SEARCH("DJ",BrachyTxs[[#This Row],[MD(s)]])),1,0)</f>
        <v>0</v>
      </c>
      <c r="J39" s="3">
        <f>IF(ISNUMBER(SEARCH("JS",BrachyTxs[[#This Row],[MD(s)]])),1,0)</f>
        <v>0</v>
      </c>
      <c r="K39" s="3"/>
      <c r="L39" s="3"/>
      <c r="M39" s="3"/>
      <c r="N39" s="3"/>
      <c r="O39" t="b">
        <f>ValidatePatient(BrachyTxs[[#This Row],[Pt]])</f>
        <v>1</v>
      </c>
      <c r="P39" t="b">
        <f>ValidatePhysicists(BrachyTxs[[#This Row],[Physicist(s)]])</f>
        <v>1</v>
      </c>
      <c r="Q39" t="b">
        <f>ValidateMDs(BrachyTxs[[#This Row],[MD(s)]])</f>
        <v>1</v>
      </c>
      <c r="S39" s="3"/>
      <c r="T39" s="5" t="s">
        <v>370</v>
      </c>
      <c r="U39" s="3">
        <v>0</v>
      </c>
      <c r="V39" s="3">
        <v>0</v>
      </c>
      <c r="W39" s="3">
        <v>0</v>
      </c>
      <c r="X39" s="3">
        <v>0</v>
      </c>
      <c r="Y39" s="3">
        <v>0</v>
      </c>
      <c r="Z39" s="8"/>
    </row>
    <row r="40" spans="1:26" x14ac:dyDescent="0.25">
      <c r="A40" t="s">
        <v>324</v>
      </c>
      <c r="B40" s="1">
        <v>38932</v>
      </c>
      <c r="C40" s="2" t="s">
        <v>262</v>
      </c>
      <c r="D40" s="3"/>
      <c r="E40" s="3"/>
      <c r="F40">
        <f>IF(ISNUMBER(SEARCH("BB",BrachyTxs[[#This Row],[Physicist(s)]])),1,0)</f>
        <v>0</v>
      </c>
      <c r="G40" s="3">
        <f>IF(ISNUMBER(SEARCH("DZ",BrachyTxs[[#This Row],[Physicist(s)]])),1,0)</f>
        <v>0</v>
      </c>
      <c r="H40" s="3">
        <f>IF(ISNUMBER(SEARCH("ZC",BrachyTxs[[#This Row],[Physicist(s)]])),1,0)</f>
        <v>0</v>
      </c>
      <c r="I40" s="3">
        <f>IF(ISNUMBER(SEARCH("DJ",BrachyTxs[[#This Row],[MD(s)]])),1,0)</f>
        <v>0</v>
      </c>
      <c r="J40" s="3">
        <f>IF(ISNUMBER(SEARCH("JS",BrachyTxs[[#This Row],[MD(s)]])),1,0)</f>
        <v>0</v>
      </c>
      <c r="K40" s="3"/>
      <c r="L40" s="3"/>
      <c r="M40" s="3"/>
      <c r="N40" s="3"/>
      <c r="O40" t="b">
        <f>ValidatePatient(BrachyTxs[[#This Row],[Pt]])</f>
        <v>1</v>
      </c>
      <c r="P40" t="b">
        <f>ValidatePhysicists(BrachyTxs[[#This Row],[Physicist(s)]])</f>
        <v>1</v>
      </c>
      <c r="Q40" t="b">
        <f>ValidateMDs(BrachyTxs[[#This Row],[MD(s)]])</f>
        <v>1</v>
      </c>
      <c r="S40" s="3"/>
      <c r="T40" s="5" t="s">
        <v>352</v>
      </c>
      <c r="U40" s="3">
        <v>0</v>
      </c>
      <c r="V40" s="3">
        <v>0</v>
      </c>
      <c r="W40" s="3">
        <v>0</v>
      </c>
      <c r="X40" s="3">
        <v>0</v>
      </c>
      <c r="Y40" s="3">
        <v>0</v>
      </c>
      <c r="Z40" s="8"/>
    </row>
    <row r="41" spans="1:26" x14ac:dyDescent="0.25">
      <c r="A41" t="s">
        <v>325</v>
      </c>
      <c r="B41" s="1">
        <v>38936</v>
      </c>
      <c r="C41" s="2" t="s">
        <v>244</v>
      </c>
      <c r="D41" s="3"/>
      <c r="E41" s="3"/>
      <c r="F41">
        <f>IF(ISNUMBER(SEARCH("BB",BrachyTxs[[#This Row],[Physicist(s)]])),1,0)</f>
        <v>0</v>
      </c>
      <c r="G41" s="3">
        <f>IF(ISNUMBER(SEARCH("DZ",BrachyTxs[[#This Row],[Physicist(s)]])),1,0)</f>
        <v>0</v>
      </c>
      <c r="H41" s="3">
        <f>IF(ISNUMBER(SEARCH("ZC",BrachyTxs[[#This Row],[Physicist(s)]])),1,0)</f>
        <v>0</v>
      </c>
      <c r="I41" s="3">
        <f>IF(ISNUMBER(SEARCH("DJ",BrachyTxs[[#This Row],[MD(s)]])),1,0)</f>
        <v>0</v>
      </c>
      <c r="J41" s="3">
        <f>IF(ISNUMBER(SEARCH("JS",BrachyTxs[[#This Row],[MD(s)]])),1,0)</f>
        <v>0</v>
      </c>
      <c r="K41" s="3"/>
      <c r="L41" s="3"/>
      <c r="M41" s="3"/>
      <c r="N41" s="3"/>
      <c r="O41" t="b">
        <f>ValidatePatient(BrachyTxs[[#This Row],[Pt]])</f>
        <v>1</v>
      </c>
      <c r="P41" t="b">
        <f>ValidatePhysicists(BrachyTxs[[#This Row],[Physicist(s)]])</f>
        <v>1</v>
      </c>
      <c r="Q41" t="b">
        <f>ValidateMDs(BrachyTxs[[#This Row],[MD(s)]])</f>
        <v>1</v>
      </c>
      <c r="S41" s="3"/>
      <c r="T41" s="5" t="s">
        <v>353</v>
      </c>
      <c r="U41" s="3">
        <v>0</v>
      </c>
      <c r="V41" s="3">
        <v>0</v>
      </c>
      <c r="W41" s="3">
        <v>0</v>
      </c>
      <c r="X41" s="3">
        <v>0</v>
      </c>
      <c r="Y41" s="3">
        <v>0</v>
      </c>
      <c r="Z41" s="8"/>
    </row>
    <row r="42" spans="1:26" x14ac:dyDescent="0.25">
      <c r="A42" t="s">
        <v>324</v>
      </c>
      <c r="B42" s="1">
        <v>38944</v>
      </c>
      <c r="C42" s="2" t="s">
        <v>223</v>
      </c>
      <c r="D42" s="3"/>
      <c r="E42" s="3"/>
      <c r="F42">
        <f>IF(ISNUMBER(SEARCH("BB",BrachyTxs[[#This Row],[Physicist(s)]])),1,0)</f>
        <v>0</v>
      </c>
      <c r="G42" s="3">
        <f>IF(ISNUMBER(SEARCH("DZ",BrachyTxs[[#This Row],[Physicist(s)]])),1,0)</f>
        <v>0</v>
      </c>
      <c r="H42" s="3">
        <f>IF(ISNUMBER(SEARCH("ZC",BrachyTxs[[#This Row],[Physicist(s)]])),1,0)</f>
        <v>0</v>
      </c>
      <c r="I42" s="3">
        <f>IF(ISNUMBER(SEARCH("DJ",BrachyTxs[[#This Row],[MD(s)]])),1,0)</f>
        <v>0</v>
      </c>
      <c r="J42" s="3">
        <f>IF(ISNUMBER(SEARCH("JS",BrachyTxs[[#This Row],[MD(s)]])),1,0)</f>
        <v>0</v>
      </c>
      <c r="K42" s="3"/>
      <c r="L42" s="3"/>
      <c r="M42" s="3"/>
      <c r="N42" s="3"/>
      <c r="O42" t="b">
        <f>ValidatePatient(BrachyTxs[[#This Row],[Pt]])</f>
        <v>1</v>
      </c>
      <c r="P42" t="b">
        <f>ValidatePhysicists(BrachyTxs[[#This Row],[Physicist(s)]])</f>
        <v>1</v>
      </c>
      <c r="Q42" t="b">
        <f>ValidateMDs(BrachyTxs[[#This Row],[MD(s)]])</f>
        <v>1</v>
      </c>
      <c r="S42" s="3"/>
      <c r="T42" s="5" t="s">
        <v>354</v>
      </c>
      <c r="U42" s="3">
        <v>0</v>
      </c>
      <c r="V42" s="3">
        <v>0</v>
      </c>
      <c r="W42" s="3">
        <v>0</v>
      </c>
      <c r="X42" s="3">
        <v>0</v>
      </c>
      <c r="Y42" s="3">
        <v>0</v>
      </c>
      <c r="Z42" s="8"/>
    </row>
    <row r="43" spans="1:26" x14ac:dyDescent="0.25">
      <c r="A43" t="s">
        <v>325</v>
      </c>
      <c r="B43" s="1">
        <v>38957</v>
      </c>
      <c r="C43" s="2" t="s">
        <v>142</v>
      </c>
      <c r="D43" s="3"/>
      <c r="E43" s="3"/>
      <c r="F43">
        <f>IF(ISNUMBER(SEARCH("BB",BrachyTxs[[#This Row],[Physicist(s)]])),1,0)</f>
        <v>0</v>
      </c>
      <c r="G43" s="3">
        <f>IF(ISNUMBER(SEARCH("DZ",BrachyTxs[[#This Row],[Physicist(s)]])),1,0)</f>
        <v>0</v>
      </c>
      <c r="H43" s="3">
        <f>IF(ISNUMBER(SEARCH("ZC",BrachyTxs[[#This Row],[Physicist(s)]])),1,0)</f>
        <v>0</v>
      </c>
      <c r="I43" s="3">
        <f>IF(ISNUMBER(SEARCH("DJ",BrachyTxs[[#This Row],[MD(s)]])),1,0)</f>
        <v>0</v>
      </c>
      <c r="J43" s="3">
        <f>IF(ISNUMBER(SEARCH("JS",BrachyTxs[[#This Row],[MD(s)]])),1,0)</f>
        <v>0</v>
      </c>
      <c r="K43" s="3"/>
      <c r="L43" s="3"/>
      <c r="M43" s="3"/>
      <c r="N43" s="3"/>
      <c r="O43" t="b">
        <f>ValidatePatient(BrachyTxs[[#This Row],[Pt]])</f>
        <v>1</v>
      </c>
      <c r="P43" t="b">
        <f>ValidatePhysicists(BrachyTxs[[#This Row],[Physicist(s)]])</f>
        <v>1</v>
      </c>
      <c r="Q43" t="b">
        <f>ValidateMDs(BrachyTxs[[#This Row],[MD(s)]])</f>
        <v>1</v>
      </c>
      <c r="S43" s="3"/>
      <c r="T43" s="5" t="s">
        <v>355</v>
      </c>
      <c r="U43" s="3">
        <v>0</v>
      </c>
      <c r="V43" s="3">
        <v>0</v>
      </c>
      <c r="W43" s="3">
        <v>0</v>
      </c>
      <c r="X43" s="3">
        <v>0</v>
      </c>
      <c r="Y43" s="3">
        <v>0</v>
      </c>
      <c r="Z43" s="8"/>
    </row>
    <row r="44" spans="1:26" x14ac:dyDescent="0.25">
      <c r="A44" t="s">
        <v>324</v>
      </c>
      <c r="B44" s="1">
        <v>38958</v>
      </c>
      <c r="C44" s="2" t="s">
        <v>223</v>
      </c>
      <c r="D44" s="3"/>
      <c r="E44" s="3"/>
      <c r="F44">
        <f>IF(ISNUMBER(SEARCH("BB",BrachyTxs[[#This Row],[Physicist(s)]])),1,0)</f>
        <v>0</v>
      </c>
      <c r="G44" s="3">
        <f>IF(ISNUMBER(SEARCH("DZ",BrachyTxs[[#This Row],[Physicist(s)]])),1,0)</f>
        <v>0</v>
      </c>
      <c r="H44" s="3">
        <f>IF(ISNUMBER(SEARCH("ZC",BrachyTxs[[#This Row],[Physicist(s)]])),1,0)</f>
        <v>0</v>
      </c>
      <c r="I44" s="3">
        <f>IF(ISNUMBER(SEARCH("DJ",BrachyTxs[[#This Row],[MD(s)]])),1,0)</f>
        <v>0</v>
      </c>
      <c r="J44" s="3">
        <f>IF(ISNUMBER(SEARCH("JS",BrachyTxs[[#This Row],[MD(s)]])),1,0)</f>
        <v>0</v>
      </c>
      <c r="K44" s="3"/>
      <c r="L44" s="3"/>
      <c r="M44" s="3"/>
      <c r="N44" s="3"/>
      <c r="O44" t="b">
        <f>ValidatePatient(BrachyTxs[[#This Row],[Pt]])</f>
        <v>1</v>
      </c>
      <c r="P44" t="b">
        <f>ValidatePhysicists(BrachyTxs[[#This Row],[Physicist(s)]])</f>
        <v>1</v>
      </c>
      <c r="Q44" t="b">
        <f>ValidateMDs(BrachyTxs[[#This Row],[MD(s)]])</f>
        <v>1</v>
      </c>
      <c r="S44" s="3"/>
      <c r="T44" s="5" t="s">
        <v>356</v>
      </c>
      <c r="U44" s="3">
        <v>0</v>
      </c>
      <c r="V44" s="3">
        <v>0</v>
      </c>
      <c r="W44" s="3">
        <v>0</v>
      </c>
      <c r="X44" s="3">
        <v>0</v>
      </c>
      <c r="Y44" s="3">
        <v>0</v>
      </c>
      <c r="Z44" s="8"/>
    </row>
    <row r="45" spans="1:26" x14ac:dyDescent="0.25">
      <c r="A45" t="s">
        <v>325</v>
      </c>
      <c r="B45" s="1">
        <v>38978</v>
      </c>
      <c r="C45" s="2" t="s">
        <v>292</v>
      </c>
      <c r="D45" s="3"/>
      <c r="E45" s="3"/>
      <c r="F45">
        <f>IF(ISNUMBER(SEARCH("BB",BrachyTxs[[#This Row],[Physicist(s)]])),1,0)</f>
        <v>0</v>
      </c>
      <c r="G45" s="3">
        <f>IF(ISNUMBER(SEARCH("DZ",BrachyTxs[[#This Row],[Physicist(s)]])),1,0)</f>
        <v>0</v>
      </c>
      <c r="H45" s="3">
        <f>IF(ISNUMBER(SEARCH("ZC",BrachyTxs[[#This Row],[Physicist(s)]])),1,0)</f>
        <v>0</v>
      </c>
      <c r="I45" s="3">
        <f>IF(ISNUMBER(SEARCH("DJ",BrachyTxs[[#This Row],[MD(s)]])),1,0)</f>
        <v>0</v>
      </c>
      <c r="J45" s="3">
        <f>IF(ISNUMBER(SEARCH("JS",BrachyTxs[[#This Row],[MD(s)]])),1,0)</f>
        <v>0</v>
      </c>
      <c r="K45" s="3"/>
      <c r="L45" s="3"/>
      <c r="M45" s="3"/>
      <c r="N45" s="3"/>
      <c r="O45" t="b">
        <f>ValidatePatient(BrachyTxs[[#This Row],[Pt]])</f>
        <v>1</v>
      </c>
      <c r="P45" t="b">
        <f>ValidatePhysicists(BrachyTxs[[#This Row],[Physicist(s)]])</f>
        <v>1</v>
      </c>
      <c r="Q45" t="b">
        <f>ValidateMDs(BrachyTxs[[#This Row],[MD(s)]])</f>
        <v>1</v>
      </c>
      <c r="S45" s="3"/>
      <c r="T45" s="5" t="s">
        <v>357</v>
      </c>
      <c r="U45" s="3">
        <v>0</v>
      </c>
      <c r="V45" s="3">
        <v>0</v>
      </c>
      <c r="W45" s="3">
        <v>0</v>
      </c>
      <c r="X45" s="3">
        <v>0</v>
      </c>
      <c r="Y45" s="3">
        <v>0</v>
      </c>
      <c r="Z45" s="8"/>
    </row>
    <row r="46" spans="1:26" x14ac:dyDescent="0.25">
      <c r="A46" t="s">
        <v>324</v>
      </c>
      <c r="B46" s="1">
        <v>38979</v>
      </c>
      <c r="C46" s="2" t="s">
        <v>240</v>
      </c>
      <c r="D46" s="3"/>
      <c r="E46" s="3"/>
      <c r="F46">
        <f>IF(ISNUMBER(SEARCH("BB",BrachyTxs[[#This Row],[Physicist(s)]])),1,0)</f>
        <v>0</v>
      </c>
      <c r="G46" s="3">
        <f>IF(ISNUMBER(SEARCH("DZ",BrachyTxs[[#This Row],[Physicist(s)]])),1,0)</f>
        <v>0</v>
      </c>
      <c r="H46" s="3">
        <f>IF(ISNUMBER(SEARCH("ZC",BrachyTxs[[#This Row],[Physicist(s)]])),1,0)</f>
        <v>0</v>
      </c>
      <c r="I46" s="3">
        <f>IF(ISNUMBER(SEARCH("DJ",BrachyTxs[[#This Row],[MD(s)]])),1,0)</f>
        <v>0</v>
      </c>
      <c r="J46" s="3">
        <f>IF(ISNUMBER(SEARCH("JS",BrachyTxs[[#This Row],[MD(s)]])),1,0)</f>
        <v>0</v>
      </c>
      <c r="K46" s="3"/>
      <c r="L46" s="3"/>
      <c r="M46" s="3"/>
      <c r="N46" s="3"/>
      <c r="O46" t="b">
        <f>ValidatePatient(BrachyTxs[[#This Row],[Pt]])</f>
        <v>1</v>
      </c>
      <c r="P46" t="b">
        <f>ValidatePhysicists(BrachyTxs[[#This Row],[Physicist(s)]])</f>
        <v>1</v>
      </c>
      <c r="Q46" t="b">
        <f>ValidateMDs(BrachyTxs[[#This Row],[MD(s)]])</f>
        <v>1</v>
      </c>
      <c r="S46" s="3"/>
      <c r="T46" s="5" t="s">
        <v>358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8"/>
    </row>
    <row r="47" spans="1:26" x14ac:dyDescent="0.25">
      <c r="A47" t="s">
        <v>325</v>
      </c>
      <c r="B47" s="1">
        <v>38981</v>
      </c>
      <c r="C47" s="2" t="s">
        <v>389</v>
      </c>
      <c r="D47" s="3"/>
      <c r="E47" s="3"/>
      <c r="F47">
        <f>IF(ISNUMBER(SEARCH("BB",BrachyTxs[[#This Row],[Physicist(s)]])),1,0)</f>
        <v>0</v>
      </c>
      <c r="G47" s="3">
        <f>IF(ISNUMBER(SEARCH("DZ",BrachyTxs[[#This Row],[Physicist(s)]])),1,0)</f>
        <v>0</v>
      </c>
      <c r="H47" s="3">
        <f>IF(ISNUMBER(SEARCH("ZC",BrachyTxs[[#This Row],[Physicist(s)]])),1,0)</f>
        <v>0</v>
      </c>
      <c r="I47" s="3">
        <f>IF(ISNUMBER(SEARCH("DJ",BrachyTxs[[#This Row],[MD(s)]])),1,0)</f>
        <v>0</v>
      </c>
      <c r="J47" s="3">
        <f>IF(ISNUMBER(SEARCH("JS",BrachyTxs[[#This Row],[MD(s)]])),1,0)</f>
        <v>0</v>
      </c>
      <c r="K47" s="3"/>
      <c r="L47" s="3"/>
      <c r="M47" s="3"/>
      <c r="N47" s="3"/>
      <c r="O47" t="b">
        <f>ValidatePatient(BrachyTxs[[#This Row],[Pt]])</f>
        <v>0</v>
      </c>
      <c r="P47" t="b">
        <f>ValidatePhysicists(BrachyTxs[[#This Row],[Physicist(s)]])</f>
        <v>1</v>
      </c>
      <c r="Q47" t="b">
        <f>ValidateMDs(BrachyTxs[[#This Row],[MD(s)]])</f>
        <v>1</v>
      </c>
      <c r="S47" s="3"/>
      <c r="T47" s="5" t="s">
        <v>359</v>
      </c>
      <c r="U47" s="3">
        <v>0</v>
      </c>
      <c r="V47" s="3">
        <v>0</v>
      </c>
      <c r="W47" s="3">
        <v>0</v>
      </c>
      <c r="X47" s="3">
        <v>0</v>
      </c>
      <c r="Y47" s="3">
        <v>0</v>
      </c>
      <c r="Z47" s="8"/>
    </row>
    <row r="48" spans="1:26" x14ac:dyDescent="0.25">
      <c r="A48" t="s">
        <v>323</v>
      </c>
      <c r="B48" s="1">
        <v>38985</v>
      </c>
      <c r="C48" s="2" t="s">
        <v>89</v>
      </c>
      <c r="D48" s="3"/>
      <c r="E48" s="3"/>
      <c r="F48">
        <f>IF(ISNUMBER(SEARCH("BB",BrachyTxs[[#This Row],[Physicist(s)]])),1,0)</f>
        <v>0</v>
      </c>
      <c r="G48" s="3">
        <f>IF(ISNUMBER(SEARCH("DZ",BrachyTxs[[#This Row],[Physicist(s)]])),1,0)</f>
        <v>0</v>
      </c>
      <c r="H48" s="3">
        <f>IF(ISNUMBER(SEARCH("ZC",BrachyTxs[[#This Row],[Physicist(s)]])),1,0)</f>
        <v>0</v>
      </c>
      <c r="I48" s="3">
        <f>IF(ISNUMBER(SEARCH("DJ",BrachyTxs[[#This Row],[MD(s)]])),1,0)</f>
        <v>0</v>
      </c>
      <c r="J48" s="3">
        <f>IF(ISNUMBER(SEARCH("JS",BrachyTxs[[#This Row],[MD(s)]])),1,0)</f>
        <v>0</v>
      </c>
      <c r="K48" s="3"/>
      <c r="L48" s="3"/>
      <c r="M48" s="3"/>
      <c r="N48" s="3"/>
      <c r="O48" t="b">
        <f>ValidatePatient(BrachyTxs[[#This Row],[Pt]])</f>
        <v>1</v>
      </c>
      <c r="P48" t="b">
        <f>ValidatePhysicists(BrachyTxs[[#This Row],[Physicist(s)]])</f>
        <v>1</v>
      </c>
      <c r="Q48" t="b">
        <f>ValidateMDs(BrachyTxs[[#This Row],[MD(s)]])</f>
        <v>1</v>
      </c>
      <c r="S48" s="3"/>
      <c r="T48" s="5" t="s">
        <v>360</v>
      </c>
      <c r="U48" s="3">
        <v>1</v>
      </c>
      <c r="V48" s="3">
        <v>0</v>
      </c>
      <c r="W48" s="3">
        <v>0</v>
      </c>
      <c r="X48" s="3">
        <v>0</v>
      </c>
      <c r="Y48" s="3">
        <v>0</v>
      </c>
      <c r="Z48" s="8"/>
    </row>
    <row r="49" spans="1:26" x14ac:dyDescent="0.25">
      <c r="A49" t="s">
        <v>324</v>
      </c>
      <c r="B49" s="1">
        <v>38993</v>
      </c>
      <c r="C49" s="2" t="s">
        <v>240</v>
      </c>
      <c r="D49" s="3"/>
      <c r="E49" s="3"/>
      <c r="F49">
        <f>IF(ISNUMBER(SEARCH("BB",BrachyTxs[[#This Row],[Physicist(s)]])),1,0)</f>
        <v>0</v>
      </c>
      <c r="G49" s="3">
        <f>IF(ISNUMBER(SEARCH("DZ",BrachyTxs[[#This Row],[Physicist(s)]])),1,0)</f>
        <v>0</v>
      </c>
      <c r="H49" s="3">
        <f>IF(ISNUMBER(SEARCH("ZC",BrachyTxs[[#This Row],[Physicist(s)]])),1,0)</f>
        <v>0</v>
      </c>
      <c r="I49" s="3">
        <f>IF(ISNUMBER(SEARCH("DJ",BrachyTxs[[#This Row],[MD(s)]])),1,0)</f>
        <v>0</v>
      </c>
      <c r="J49" s="3">
        <f>IF(ISNUMBER(SEARCH("JS",BrachyTxs[[#This Row],[MD(s)]])),1,0)</f>
        <v>0</v>
      </c>
      <c r="K49" s="3"/>
      <c r="L49" s="3"/>
      <c r="M49" s="3"/>
      <c r="N49" s="3"/>
      <c r="O49" t="b">
        <f>ValidatePatient(BrachyTxs[[#This Row],[Pt]])</f>
        <v>1</v>
      </c>
      <c r="P49" t="b">
        <f>ValidatePhysicists(BrachyTxs[[#This Row],[Physicist(s)]])</f>
        <v>1</v>
      </c>
      <c r="Q49" t="b">
        <f>ValidateMDs(BrachyTxs[[#This Row],[MD(s)]])</f>
        <v>1</v>
      </c>
      <c r="S49" s="3"/>
      <c r="T49" s="5" t="s">
        <v>361</v>
      </c>
      <c r="U49" s="3">
        <v>0</v>
      </c>
      <c r="V49" s="3">
        <v>0</v>
      </c>
      <c r="W49" s="3">
        <v>0</v>
      </c>
      <c r="X49" s="3">
        <v>0</v>
      </c>
      <c r="Y49" s="3">
        <v>0</v>
      </c>
      <c r="Z49" s="8"/>
    </row>
    <row r="50" spans="1:26" x14ac:dyDescent="0.25">
      <c r="A50" t="s">
        <v>325</v>
      </c>
      <c r="B50" s="1">
        <v>38993</v>
      </c>
      <c r="C50" s="2" t="s">
        <v>123</v>
      </c>
      <c r="D50" s="3"/>
      <c r="E50" s="3"/>
      <c r="F50">
        <f>IF(ISNUMBER(SEARCH("BB",BrachyTxs[[#This Row],[Physicist(s)]])),1,0)</f>
        <v>0</v>
      </c>
      <c r="G50" s="3">
        <f>IF(ISNUMBER(SEARCH("DZ",BrachyTxs[[#This Row],[Physicist(s)]])),1,0)</f>
        <v>0</v>
      </c>
      <c r="H50" s="3">
        <f>IF(ISNUMBER(SEARCH("ZC",BrachyTxs[[#This Row],[Physicist(s)]])),1,0)</f>
        <v>0</v>
      </c>
      <c r="I50" s="3">
        <f>IF(ISNUMBER(SEARCH("DJ",BrachyTxs[[#This Row],[MD(s)]])),1,0)</f>
        <v>0</v>
      </c>
      <c r="J50" s="3">
        <f>IF(ISNUMBER(SEARCH("JS",BrachyTxs[[#This Row],[MD(s)]])),1,0)</f>
        <v>0</v>
      </c>
      <c r="K50" s="3"/>
      <c r="L50" s="3"/>
      <c r="M50" s="3"/>
      <c r="N50" s="3"/>
      <c r="O50" t="b">
        <f>ValidatePatient(BrachyTxs[[#This Row],[Pt]])</f>
        <v>1</v>
      </c>
      <c r="P50" t="b">
        <f>ValidatePhysicists(BrachyTxs[[#This Row],[Physicist(s)]])</f>
        <v>1</v>
      </c>
      <c r="Q50" t="b">
        <f>ValidateMDs(BrachyTxs[[#This Row],[MD(s)]])</f>
        <v>1</v>
      </c>
      <c r="S50" s="3"/>
      <c r="T50" s="5" t="s">
        <v>362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8"/>
    </row>
    <row r="51" spans="1:26" x14ac:dyDescent="0.25">
      <c r="A51" t="s">
        <v>323</v>
      </c>
      <c r="B51" s="1">
        <v>39015</v>
      </c>
      <c r="C51" s="2" t="s">
        <v>105</v>
      </c>
      <c r="D51" s="3"/>
      <c r="E51" s="3"/>
      <c r="F51">
        <f>IF(ISNUMBER(SEARCH("BB",BrachyTxs[[#This Row],[Physicist(s)]])),1,0)</f>
        <v>0</v>
      </c>
      <c r="G51" s="3">
        <f>IF(ISNUMBER(SEARCH("DZ",BrachyTxs[[#This Row],[Physicist(s)]])),1,0)</f>
        <v>0</v>
      </c>
      <c r="H51" s="3">
        <f>IF(ISNUMBER(SEARCH("ZC",BrachyTxs[[#This Row],[Physicist(s)]])),1,0)</f>
        <v>0</v>
      </c>
      <c r="I51" s="3">
        <f>IF(ISNUMBER(SEARCH("DJ",BrachyTxs[[#This Row],[MD(s)]])),1,0)</f>
        <v>0</v>
      </c>
      <c r="J51" s="3">
        <f>IF(ISNUMBER(SEARCH("JS",BrachyTxs[[#This Row],[MD(s)]])),1,0)</f>
        <v>0</v>
      </c>
      <c r="K51" s="3"/>
      <c r="L51" s="3"/>
      <c r="M51" s="3"/>
      <c r="N51" s="3"/>
      <c r="O51" t="b">
        <f>ValidatePatient(BrachyTxs[[#This Row],[Pt]])</f>
        <v>1</v>
      </c>
      <c r="P51" t="b">
        <f>ValidatePhysicists(BrachyTxs[[#This Row],[Physicist(s)]])</f>
        <v>1</v>
      </c>
      <c r="Q51" t="b">
        <f>ValidateMDs(BrachyTxs[[#This Row],[MD(s)]])</f>
        <v>1</v>
      </c>
      <c r="S51" s="3"/>
      <c r="T51" s="5" t="s">
        <v>363</v>
      </c>
      <c r="U51" s="3">
        <v>0</v>
      </c>
      <c r="V51" s="3">
        <v>0</v>
      </c>
      <c r="W51" s="3">
        <v>0</v>
      </c>
      <c r="X51" s="3">
        <v>0</v>
      </c>
      <c r="Y51" s="3">
        <v>0</v>
      </c>
      <c r="Z51" s="8"/>
    </row>
    <row r="52" spans="1:26" x14ac:dyDescent="0.25">
      <c r="A52" t="s">
        <v>323</v>
      </c>
      <c r="B52" s="1">
        <v>39022</v>
      </c>
      <c r="C52" s="2" t="s">
        <v>113</v>
      </c>
      <c r="D52" s="3"/>
      <c r="E52" s="3"/>
      <c r="F52">
        <f>IF(ISNUMBER(SEARCH("BB",BrachyTxs[[#This Row],[Physicist(s)]])),1,0)</f>
        <v>0</v>
      </c>
      <c r="G52" s="3">
        <f>IF(ISNUMBER(SEARCH("DZ",BrachyTxs[[#This Row],[Physicist(s)]])),1,0)</f>
        <v>0</v>
      </c>
      <c r="H52" s="3">
        <f>IF(ISNUMBER(SEARCH("ZC",BrachyTxs[[#This Row],[Physicist(s)]])),1,0)</f>
        <v>0</v>
      </c>
      <c r="I52" s="3">
        <f>IF(ISNUMBER(SEARCH("DJ",BrachyTxs[[#This Row],[MD(s)]])),1,0)</f>
        <v>0</v>
      </c>
      <c r="J52" s="3">
        <f>IF(ISNUMBER(SEARCH("JS",BrachyTxs[[#This Row],[MD(s)]])),1,0)</f>
        <v>0</v>
      </c>
      <c r="K52" s="3"/>
      <c r="L52" s="3"/>
      <c r="M52" s="3"/>
      <c r="N52" s="3"/>
      <c r="O52" t="b">
        <f>ValidatePatient(BrachyTxs[[#This Row],[Pt]])</f>
        <v>1</v>
      </c>
      <c r="P52" t="b">
        <f>ValidatePhysicists(BrachyTxs[[#This Row],[Physicist(s)]])</f>
        <v>1</v>
      </c>
      <c r="Q52" t="b">
        <f>ValidateMDs(BrachyTxs[[#This Row],[MD(s)]])</f>
        <v>1</v>
      </c>
      <c r="S52" s="3"/>
      <c r="T52" s="5" t="s">
        <v>364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8"/>
    </row>
    <row r="53" spans="1:26" x14ac:dyDescent="0.25">
      <c r="A53" t="s">
        <v>323</v>
      </c>
      <c r="B53" s="1">
        <v>39035</v>
      </c>
      <c r="C53" s="2" t="s">
        <v>183</v>
      </c>
      <c r="D53" s="3"/>
      <c r="E53" s="3"/>
      <c r="F53">
        <f>IF(ISNUMBER(SEARCH("BB",BrachyTxs[[#This Row],[Physicist(s)]])),1,0)</f>
        <v>0</v>
      </c>
      <c r="G53" s="3">
        <f>IF(ISNUMBER(SEARCH("DZ",BrachyTxs[[#This Row],[Physicist(s)]])),1,0)</f>
        <v>0</v>
      </c>
      <c r="H53" s="3">
        <f>IF(ISNUMBER(SEARCH("ZC",BrachyTxs[[#This Row],[Physicist(s)]])),1,0)</f>
        <v>0</v>
      </c>
      <c r="I53" s="3">
        <f>IF(ISNUMBER(SEARCH("DJ",BrachyTxs[[#This Row],[MD(s)]])),1,0)</f>
        <v>0</v>
      </c>
      <c r="J53" s="3">
        <f>IF(ISNUMBER(SEARCH("JS",BrachyTxs[[#This Row],[MD(s)]])),1,0)</f>
        <v>0</v>
      </c>
      <c r="K53" s="3"/>
      <c r="L53" s="3"/>
      <c r="M53" s="3"/>
      <c r="N53" s="3"/>
      <c r="O53" t="b">
        <f>ValidatePatient(BrachyTxs[[#This Row],[Pt]])</f>
        <v>1</v>
      </c>
      <c r="P53" t="b">
        <f>ValidatePhysicists(BrachyTxs[[#This Row],[Physicist(s)]])</f>
        <v>1</v>
      </c>
      <c r="Q53" t="b">
        <f>ValidateMDs(BrachyTxs[[#This Row],[MD(s)]])</f>
        <v>1</v>
      </c>
      <c r="S53" s="3"/>
      <c r="T53" s="5" t="s">
        <v>365</v>
      </c>
      <c r="U53" s="3">
        <v>0</v>
      </c>
      <c r="V53" s="3">
        <v>0</v>
      </c>
      <c r="W53" s="3">
        <v>0</v>
      </c>
      <c r="X53" s="3">
        <v>0</v>
      </c>
      <c r="Y53" s="3">
        <v>0</v>
      </c>
      <c r="Z53" s="8"/>
    </row>
    <row r="54" spans="1:26" x14ac:dyDescent="0.25">
      <c r="A54" t="s">
        <v>323</v>
      </c>
      <c r="B54" s="1">
        <v>39059</v>
      </c>
      <c r="C54" s="2" t="s">
        <v>233</v>
      </c>
      <c r="D54" s="3"/>
      <c r="E54" s="3"/>
      <c r="F54">
        <f>IF(ISNUMBER(SEARCH("BB",BrachyTxs[[#This Row],[Physicist(s)]])),1,0)</f>
        <v>0</v>
      </c>
      <c r="G54" s="3">
        <f>IF(ISNUMBER(SEARCH("DZ",BrachyTxs[[#This Row],[Physicist(s)]])),1,0)</f>
        <v>0</v>
      </c>
      <c r="H54" s="3">
        <f>IF(ISNUMBER(SEARCH("ZC",BrachyTxs[[#This Row],[Physicist(s)]])),1,0)</f>
        <v>0</v>
      </c>
      <c r="I54" s="3">
        <f>IF(ISNUMBER(SEARCH("DJ",BrachyTxs[[#This Row],[MD(s)]])),1,0)</f>
        <v>0</v>
      </c>
      <c r="J54" s="3">
        <f>IF(ISNUMBER(SEARCH("JS",BrachyTxs[[#This Row],[MD(s)]])),1,0)</f>
        <v>0</v>
      </c>
      <c r="K54" s="3"/>
      <c r="L54" s="3"/>
      <c r="M54" s="3"/>
      <c r="N54" s="3"/>
      <c r="O54" t="b">
        <f>ValidatePatient(BrachyTxs[[#This Row],[Pt]])</f>
        <v>1</v>
      </c>
      <c r="P54" t="b">
        <f>ValidatePhysicists(BrachyTxs[[#This Row],[Physicist(s)]])</f>
        <v>1</v>
      </c>
      <c r="Q54" t="b">
        <f>ValidateMDs(BrachyTxs[[#This Row],[MD(s)]])</f>
        <v>1</v>
      </c>
      <c r="S54" s="3"/>
      <c r="T54" s="5" t="s">
        <v>366</v>
      </c>
      <c r="U54" s="3">
        <v>0</v>
      </c>
      <c r="V54" s="3">
        <v>0</v>
      </c>
      <c r="W54" s="3">
        <v>0</v>
      </c>
      <c r="X54" s="3">
        <v>0</v>
      </c>
      <c r="Y54" s="3">
        <v>0</v>
      </c>
      <c r="Z54" s="8"/>
    </row>
    <row r="55" spans="1:26" x14ac:dyDescent="0.25">
      <c r="A55" t="s">
        <v>323</v>
      </c>
      <c r="B55" s="1">
        <v>39062</v>
      </c>
      <c r="C55" s="2" t="s">
        <v>291</v>
      </c>
      <c r="D55" s="3"/>
      <c r="E55" s="3"/>
      <c r="F55">
        <f>IF(ISNUMBER(SEARCH("BB",BrachyTxs[[#This Row],[Physicist(s)]])),1,0)</f>
        <v>0</v>
      </c>
      <c r="G55" s="3">
        <f>IF(ISNUMBER(SEARCH("DZ",BrachyTxs[[#This Row],[Physicist(s)]])),1,0)</f>
        <v>0</v>
      </c>
      <c r="H55" s="3">
        <f>IF(ISNUMBER(SEARCH("ZC",BrachyTxs[[#This Row],[Physicist(s)]])),1,0)</f>
        <v>0</v>
      </c>
      <c r="I55" s="3">
        <f>IF(ISNUMBER(SEARCH("DJ",BrachyTxs[[#This Row],[MD(s)]])),1,0)</f>
        <v>0</v>
      </c>
      <c r="J55" s="3">
        <f>IF(ISNUMBER(SEARCH("JS",BrachyTxs[[#This Row],[MD(s)]])),1,0)</f>
        <v>0</v>
      </c>
      <c r="K55" s="3"/>
      <c r="L55" s="3"/>
      <c r="M55" s="3"/>
      <c r="N55" s="3"/>
      <c r="O55" t="b">
        <f>ValidatePatient(BrachyTxs[[#This Row],[Pt]])</f>
        <v>1</v>
      </c>
      <c r="P55" t="b">
        <f>ValidatePhysicists(BrachyTxs[[#This Row],[Physicist(s)]])</f>
        <v>1</v>
      </c>
      <c r="Q55" t="b">
        <f>ValidateMDs(BrachyTxs[[#This Row],[MD(s)]])</f>
        <v>1</v>
      </c>
      <c r="S55" s="3"/>
      <c r="T55" s="5" t="s">
        <v>367</v>
      </c>
      <c r="U55" s="3">
        <v>0</v>
      </c>
      <c r="V55" s="3">
        <v>0</v>
      </c>
      <c r="W55" s="3">
        <v>0</v>
      </c>
      <c r="X55" s="3">
        <v>0</v>
      </c>
      <c r="Y55" s="3">
        <v>0</v>
      </c>
      <c r="Z55" s="8"/>
    </row>
    <row r="56" spans="1:26" x14ac:dyDescent="0.25">
      <c r="A56" t="s">
        <v>325</v>
      </c>
      <c r="B56" s="1">
        <v>39072</v>
      </c>
      <c r="C56" s="2" t="s">
        <v>210</v>
      </c>
      <c r="D56" s="3"/>
      <c r="E56" s="3"/>
      <c r="F56">
        <f>IF(ISNUMBER(SEARCH("BB",BrachyTxs[[#This Row],[Physicist(s)]])),1,0)</f>
        <v>0</v>
      </c>
      <c r="G56" s="3">
        <f>IF(ISNUMBER(SEARCH("DZ",BrachyTxs[[#This Row],[Physicist(s)]])),1,0)</f>
        <v>0</v>
      </c>
      <c r="H56" s="3">
        <f>IF(ISNUMBER(SEARCH("ZC",BrachyTxs[[#This Row],[Physicist(s)]])),1,0)</f>
        <v>0</v>
      </c>
      <c r="I56" s="3">
        <f>IF(ISNUMBER(SEARCH("DJ",BrachyTxs[[#This Row],[MD(s)]])),1,0)</f>
        <v>0</v>
      </c>
      <c r="J56" s="3">
        <f>IF(ISNUMBER(SEARCH("JS",BrachyTxs[[#This Row],[MD(s)]])),1,0)</f>
        <v>0</v>
      </c>
      <c r="K56" s="3"/>
      <c r="L56" s="3"/>
      <c r="M56" s="3"/>
      <c r="N56" s="3"/>
      <c r="O56" t="b">
        <f>ValidatePatient(BrachyTxs[[#This Row],[Pt]])</f>
        <v>1</v>
      </c>
      <c r="P56" t="b">
        <f>ValidatePhysicists(BrachyTxs[[#This Row],[Physicist(s)]])</f>
        <v>1</v>
      </c>
      <c r="Q56" t="b">
        <f>ValidateMDs(BrachyTxs[[#This Row],[MD(s)]])</f>
        <v>1</v>
      </c>
      <c r="S56" s="3"/>
      <c r="T56" s="5" t="s">
        <v>368</v>
      </c>
      <c r="U56" s="3">
        <v>0</v>
      </c>
      <c r="V56" s="3">
        <v>0</v>
      </c>
      <c r="W56" s="3">
        <v>0</v>
      </c>
      <c r="X56" s="3">
        <v>0</v>
      </c>
      <c r="Y56" s="3">
        <v>0</v>
      </c>
      <c r="Z56" s="8"/>
    </row>
    <row r="57" spans="1:26" x14ac:dyDescent="0.25">
      <c r="A57" t="s">
        <v>323</v>
      </c>
      <c r="B57" s="1">
        <v>39087</v>
      </c>
      <c r="C57" s="2" t="s">
        <v>263</v>
      </c>
      <c r="D57" s="3"/>
      <c r="E57" s="3"/>
      <c r="F57">
        <f>IF(ISNUMBER(SEARCH("BB",BrachyTxs[[#This Row],[Physicist(s)]])),1,0)</f>
        <v>0</v>
      </c>
      <c r="G57" s="3">
        <f>IF(ISNUMBER(SEARCH("DZ",BrachyTxs[[#This Row],[Physicist(s)]])),1,0)</f>
        <v>0</v>
      </c>
      <c r="H57" s="3">
        <f>IF(ISNUMBER(SEARCH("ZC",BrachyTxs[[#This Row],[Physicist(s)]])),1,0)</f>
        <v>0</v>
      </c>
      <c r="I57" s="3">
        <f>IF(ISNUMBER(SEARCH("DJ",BrachyTxs[[#This Row],[MD(s)]])),1,0)</f>
        <v>0</v>
      </c>
      <c r="J57" s="3">
        <f>IF(ISNUMBER(SEARCH("JS",BrachyTxs[[#This Row],[MD(s)]])),1,0)</f>
        <v>0</v>
      </c>
      <c r="K57" s="3"/>
      <c r="L57" s="3"/>
      <c r="M57" s="3"/>
      <c r="N57" s="3"/>
      <c r="O57" t="b">
        <f>ValidatePatient(BrachyTxs[[#This Row],[Pt]])</f>
        <v>1</v>
      </c>
      <c r="P57" t="b">
        <f>ValidatePhysicists(BrachyTxs[[#This Row],[Physicist(s)]])</f>
        <v>1</v>
      </c>
      <c r="Q57" t="b">
        <f>ValidateMDs(BrachyTxs[[#This Row],[MD(s)]])</f>
        <v>1</v>
      </c>
      <c r="S57" s="3"/>
      <c r="T57" s="5" t="s">
        <v>369</v>
      </c>
      <c r="U57" s="3">
        <v>0</v>
      </c>
      <c r="V57" s="3">
        <v>0</v>
      </c>
      <c r="W57" s="3">
        <v>0</v>
      </c>
      <c r="X57" s="3">
        <v>2</v>
      </c>
      <c r="Y57" s="3">
        <v>0</v>
      </c>
      <c r="Z57" s="8"/>
    </row>
    <row r="58" spans="1:26" x14ac:dyDescent="0.25">
      <c r="A58" t="s">
        <v>323</v>
      </c>
      <c r="B58" s="1">
        <v>39104</v>
      </c>
      <c r="C58" s="2" t="s">
        <v>156</v>
      </c>
      <c r="D58" s="3"/>
      <c r="E58" s="3"/>
      <c r="F58">
        <f>IF(ISNUMBER(SEARCH("BB",BrachyTxs[[#This Row],[Physicist(s)]])),1,0)</f>
        <v>0</v>
      </c>
      <c r="G58" s="3">
        <f>IF(ISNUMBER(SEARCH("DZ",BrachyTxs[[#This Row],[Physicist(s)]])),1,0)</f>
        <v>0</v>
      </c>
      <c r="H58" s="3">
        <f>IF(ISNUMBER(SEARCH("ZC",BrachyTxs[[#This Row],[Physicist(s)]])),1,0)</f>
        <v>0</v>
      </c>
      <c r="I58" s="3">
        <f>IF(ISNUMBER(SEARCH("DJ",BrachyTxs[[#This Row],[MD(s)]])),1,0)</f>
        <v>0</v>
      </c>
      <c r="J58" s="3">
        <f>IF(ISNUMBER(SEARCH("JS",BrachyTxs[[#This Row],[MD(s)]])),1,0)</f>
        <v>0</v>
      </c>
      <c r="K58" s="3"/>
      <c r="L58" s="3"/>
      <c r="M58" s="3"/>
      <c r="N58" s="3"/>
      <c r="O58" t="b">
        <f>ValidatePatient(BrachyTxs[[#This Row],[Pt]])</f>
        <v>1</v>
      </c>
      <c r="P58" t="b">
        <f>ValidatePhysicists(BrachyTxs[[#This Row],[Physicist(s)]])</f>
        <v>1</v>
      </c>
      <c r="Q58" t="b">
        <f>ValidateMDs(BrachyTxs[[#This Row],[MD(s)]])</f>
        <v>1</v>
      </c>
      <c r="S58" s="3"/>
      <c r="T58" s="4" t="s">
        <v>326</v>
      </c>
      <c r="U58" s="3">
        <v>13</v>
      </c>
      <c r="V58" s="3">
        <v>3</v>
      </c>
      <c r="W58" s="3">
        <v>16</v>
      </c>
      <c r="X58" s="3">
        <v>9</v>
      </c>
      <c r="Y58" s="3">
        <v>0</v>
      </c>
      <c r="Z58" s="8"/>
    </row>
    <row r="59" spans="1:26" x14ac:dyDescent="0.25">
      <c r="A59" t="s">
        <v>325</v>
      </c>
      <c r="B59" s="1">
        <v>39108</v>
      </c>
      <c r="C59" s="2" t="s">
        <v>307</v>
      </c>
      <c r="D59" s="3"/>
      <c r="E59" s="3"/>
      <c r="F59">
        <f>IF(ISNUMBER(SEARCH("BB",BrachyTxs[[#This Row],[Physicist(s)]])),1,0)</f>
        <v>0</v>
      </c>
      <c r="G59" s="3">
        <f>IF(ISNUMBER(SEARCH("DZ",BrachyTxs[[#This Row],[Physicist(s)]])),1,0)</f>
        <v>0</v>
      </c>
      <c r="H59" s="3">
        <f>IF(ISNUMBER(SEARCH("ZC",BrachyTxs[[#This Row],[Physicist(s)]])),1,0)</f>
        <v>0</v>
      </c>
      <c r="I59" s="3">
        <f>IF(ISNUMBER(SEARCH("DJ",BrachyTxs[[#This Row],[MD(s)]])),1,0)</f>
        <v>0</v>
      </c>
      <c r="J59" s="3">
        <f>IF(ISNUMBER(SEARCH("JS",BrachyTxs[[#This Row],[MD(s)]])),1,0)</f>
        <v>0</v>
      </c>
      <c r="K59" s="3"/>
      <c r="L59" s="3"/>
      <c r="M59" s="3"/>
      <c r="N59" s="3"/>
      <c r="O59" t="b">
        <f>ValidatePatient(BrachyTxs[[#This Row],[Pt]])</f>
        <v>1</v>
      </c>
      <c r="P59" t="b">
        <f>ValidatePhysicists(BrachyTxs[[#This Row],[Physicist(s)]])</f>
        <v>1</v>
      </c>
      <c r="Q59" t="b">
        <f>ValidateMDs(BrachyTxs[[#This Row],[MD(s)]])</f>
        <v>1</v>
      </c>
      <c r="S59" s="3"/>
      <c r="T59" s="5" t="s">
        <v>360</v>
      </c>
      <c r="U59" s="3">
        <v>0</v>
      </c>
      <c r="V59" s="3">
        <v>0</v>
      </c>
      <c r="W59" s="3">
        <v>0</v>
      </c>
      <c r="X59" s="3">
        <v>0</v>
      </c>
      <c r="Y59" s="3">
        <v>0</v>
      </c>
      <c r="Z59" s="8"/>
    </row>
    <row r="60" spans="1:26" x14ac:dyDescent="0.25">
      <c r="A60" t="s">
        <v>325</v>
      </c>
      <c r="B60" s="1">
        <v>39120</v>
      </c>
      <c r="C60" s="2" t="s">
        <v>79</v>
      </c>
      <c r="D60" s="3"/>
      <c r="E60" s="3"/>
      <c r="F60">
        <f>IF(ISNUMBER(SEARCH("BB",BrachyTxs[[#This Row],[Physicist(s)]])),1,0)</f>
        <v>0</v>
      </c>
      <c r="G60" s="3">
        <f>IF(ISNUMBER(SEARCH("DZ",BrachyTxs[[#This Row],[Physicist(s)]])),1,0)</f>
        <v>0</v>
      </c>
      <c r="H60" s="3">
        <f>IF(ISNUMBER(SEARCH("ZC",BrachyTxs[[#This Row],[Physicist(s)]])),1,0)</f>
        <v>0</v>
      </c>
      <c r="I60" s="3">
        <f>IF(ISNUMBER(SEARCH("DJ",BrachyTxs[[#This Row],[MD(s)]])),1,0)</f>
        <v>0</v>
      </c>
      <c r="J60" s="3">
        <f>IF(ISNUMBER(SEARCH("JS",BrachyTxs[[#This Row],[MD(s)]])),1,0)</f>
        <v>0</v>
      </c>
      <c r="K60" s="3"/>
      <c r="L60" s="3"/>
      <c r="M60" s="3"/>
      <c r="N60" s="3"/>
      <c r="O60" t="b">
        <f>ValidatePatient(BrachyTxs[[#This Row],[Pt]])</f>
        <v>1</v>
      </c>
      <c r="P60" t="b">
        <f>ValidatePhysicists(BrachyTxs[[#This Row],[Physicist(s)]])</f>
        <v>1</v>
      </c>
      <c r="Q60" t="b">
        <f>ValidateMDs(BrachyTxs[[#This Row],[MD(s)]])</f>
        <v>1</v>
      </c>
      <c r="S60" s="3"/>
      <c r="T60" s="5" t="s">
        <v>361</v>
      </c>
      <c r="U60" s="3">
        <v>0</v>
      </c>
      <c r="V60" s="3">
        <v>0</v>
      </c>
      <c r="W60" s="3">
        <v>0</v>
      </c>
      <c r="X60" s="3">
        <v>0</v>
      </c>
      <c r="Y60" s="3">
        <v>0</v>
      </c>
      <c r="Z60" s="8"/>
    </row>
    <row r="61" spans="1:26" x14ac:dyDescent="0.25">
      <c r="A61" t="s">
        <v>323</v>
      </c>
      <c r="B61" s="1">
        <v>39128</v>
      </c>
      <c r="C61" s="2" t="s">
        <v>127</v>
      </c>
      <c r="D61" s="3"/>
      <c r="E61" s="3"/>
      <c r="F61">
        <f>IF(ISNUMBER(SEARCH("BB",BrachyTxs[[#This Row],[Physicist(s)]])),1,0)</f>
        <v>0</v>
      </c>
      <c r="G61" s="3">
        <f>IF(ISNUMBER(SEARCH("DZ",BrachyTxs[[#This Row],[Physicist(s)]])),1,0)</f>
        <v>0</v>
      </c>
      <c r="H61" s="3">
        <f>IF(ISNUMBER(SEARCH("ZC",BrachyTxs[[#This Row],[Physicist(s)]])),1,0)</f>
        <v>0</v>
      </c>
      <c r="I61" s="3">
        <f>IF(ISNUMBER(SEARCH("DJ",BrachyTxs[[#This Row],[MD(s)]])),1,0)</f>
        <v>0</v>
      </c>
      <c r="J61" s="3">
        <f>IF(ISNUMBER(SEARCH("JS",BrachyTxs[[#This Row],[MD(s)]])),1,0)</f>
        <v>0</v>
      </c>
      <c r="K61" s="3"/>
      <c r="L61" s="3"/>
      <c r="M61" s="3"/>
      <c r="N61" s="3"/>
      <c r="O61" t="b">
        <f>ValidatePatient(BrachyTxs[[#This Row],[Pt]])</f>
        <v>1</v>
      </c>
      <c r="P61" t="b">
        <f>ValidatePhysicists(BrachyTxs[[#This Row],[Physicist(s)]])</f>
        <v>1</v>
      </c>
      <c r="Q61" t="b">
        <f>ValidateMDs(BrachyTxs[[#This Row],[MD(s)]])</f>
        <v>1</v>
      </c>
      <c r="S61" s="3"/>
      <c r="T61" s="5" t="s">
        <v>362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8"/>
    </row>
    <row r="62" spans="1:26" x14ac:dyDescent="0.25">
      <c r="A62" t="s">
        <v>325</v>
      </c>
      <c r="B62" s="1">
        <v>39134</v>
      </c>
      <c r="C62" s="2" t="s">
        <v>226</v>
      </c>
      <c r="D62" s="3"/>
      <c r="E62" s="3"/>
      <c r="F62">
        <f>IF(ISNUMBER(SEARCH("BB",BrachyTxs[[#This Row],[Physicist(s)]])),1,0)</f>
        <v>0</v>
      </c>
      <c r="G62" s="3">
        <f>IF(ISNUMBER(SEARCH("DZ",BrachyTxs[[#This Row],[Physicist(s)]])),1,0)</f>
        <v>0</v>
      </c>
      <c r="H62" s="3">
        <f>IF(ISNUMBER(SEARCH("ZC",BrachyTxs[[#This Row],[Physicist(s)]])),1,0)</f>
        <v>0</v>
      </c>
      <c r="I62" s="3">
        <f>IF(ISNUMBER(SEARCH("DJ",BrachyTxs[[#This Row],[MD(s)]])),1,0)</f>
        <v>0</v>
      </c>
      <c r="J62" s="3">
        <f>IF(ISNUMBER(SEARCH("JS",BrachyTxs[[#This Row],[MD(s)]])),1,0)</f>
        <v>0</v>
      </c>
      <c r="K62" s="3"/>
      <c r="L62" s="3"/>
      <c r="M62" s="3"/>
      <c r="N62" s="3"/>
      <c r="O62" t="b">
        <f>ValidatePatient(BrachyTxs[[#This Row],[Pt]])</f>
        <v>1</v>
      </c>
      <c r="P62" t="b">
        <f>ValidatePhysicists(BrachyTxs[[#This Row],[Physicist(s)]])</f>
        <v>1</v>
      </c>
      <c r="Q62" t="b">
        <f>ValidateMDs(BrachyTxs[[#This Row],[MD(s)]])</f>
        <v>1</v>
      </c>
      <c r="S62" s="3"/>
      <c r="T62" s="5" t="s">
        <v>363</v>
      </c>
      <c r="U62" s="3">
        <v>0</v>
      </c>
      <c r="V62" s="3">
        <v>0</v>
      </c>
      <c r="W62" s="3">
        <v>0</v>
      </c>
      <c r="X62" s="3">
        <v>0</v>
      </c>
      <c r="Y62" s="3">
        <v>0</v>
      </c>
      <c r="Z62" s="8"/>
    </row>
    <row r="63" spans="1:26" x14ac:dyDescent="0.25">
      <c r="A63" t="s">
        <v>323</v>
      </c>
      <c r="B63" s="1">
        <v>39167</v>
      </c>
      <c r="C63" s="2" t="s">
        <v>246</v>
      </c>
      <c r="D63" s="3"/>
      <c r="E63" s="3"/>
      <c r="F63">
        <f>IF(ISNUMBER(SEARCH("BB",BrachyTxs[[#This Row],[Physicist(s)]])),1,0)</f>
        <v>0</v>
      </c>
      <c r="G63" s="3">
        <f>IF(ISNUMBER(SEARCH("DZ",BrachyTxs[[#This Row],[Physicist(s)]])),1,0)</f>
        <v>0</v>
      </c>
      <c r="H63" s="3">
        <f>IF(ISNUMBER(SEARCH("ZC",BrachyTxs[[#This Row],[Physicist(s)]])),1,0)</f>
        <v>0</v>
      </c>
      <c r="I63" s="3">
        <f>IF(ISNUMBER(SEARCH("DJ",BrachyTxs[[#This Row],[MD(s)]])),1,0)</f>
        <v>0</v>
      </c>
      <c r="J63" s="3">
        <f>IF(ISNUMBER(SEARCH("JS",BrachyTxs[[#This Row],[MD(s)]])),1,0)</f>
        <v>0</v>
      </c>
      <c r="K63" s="3"/>
      <c r="L63" s="3"/>
      <c r="M63" s="3"/>
      <c r="N63" s="3"/>
      <c r="O63" t="b">
        <f>ValidatePatient(BrachyTxs[[#This Row],[Pt]])</f>
        <v>1</v>
      </c>
      <c r="P63" t="b">
        <f>ValidatePhysicists(BrachyTxs[[#This Row],[Physicist(s)]])</f>
        <v>1</v>
      </c>
      <c r="Q63" t="b">
        <f>ValidateMDs(BrachyTxs[[#This Row],[MD(s)]])</f>
        <v>1</v>
      </c>
      <c r="S63" s="3"/>
      <c r="T63" s="5" t="s">
        <v>364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8"/>
    </row>
    <row r="64" spans="1:26" x14ac:dyDescent="0.25">
      <c r="A64" t="s">
        <v>323</v>
      </c>
      <c r="B64" s="1">
        <v>39198</v>
      </c>
      <c r="C64" s="2" t="s">
        <v>80</v>
      </c>
      <c r="D64" s="3"/>
      <c r="E64" s="3"/>
      <c r="F64">
        <f>IF(ISNUMBER(SEARCH("BB",BrachyTxs[[#This Row],[Physicist(s)]])),1,0)</f>
        <v>0</v>
      </c>
      <c r="G64" s="3">
        <f>IF(ISNUMBER(SEARCH("DZ",BrachyTxs[[#This Row],[Physicist(s)]])),1,0)</f>
        <v>0</v>
      </c>
      <c r="H64" s="3">
        <f>IF(ISNUMBER(SEARCH("ZC",BrachyTxs[[#This Row],[Physicist(s)]])),1,0)</f>
        <v>0</v>
      </c>
      <c r="I64" s="3">
        <f>IF(ISNUMBER(SEARCH("DJ",BrachyTxs[[#This Row],[MD(s)]])),1,0)</f>
        <v>0</v>
      </c>
      <c r="J64" s="3">
        <f>IF(ISNUMBER(SEARCH("JS",BrachyTxs[[#This Row],[MD(s)]])),1,0)</f>
        <v>0</v>
      </c>
      <c r="K64" s="3"/>
      <c r="L64" s="3"/>
      <c r="M64" s="3"/>
      <c r="N64" s="3"/>
      <c r="O64" t="b">
        <f>ValidatePatient(BrachyTxs[[#This Row],[Pt]])</f>
        <v>1</v>
      </c>
      <c r="P64" t="b">
        <f>ValidatePhysicists(BrachyTxs[[#This Row],[Physicist(s)]])</f>
        <v>1</v>
      </c>
      <c r="Q64" t="b">
        <f>ValidateMDs(BrachyTxs[[#This Row],[MD(s)]])</f>
        <v>1</v>
      </c>
      <c r="S64" s="3"/>
      <c r="T64" s="5" t="s">
        <v>365</v>
      </c>
      <c r="U64" s="3">
        <v>0</v>
      </c>
      <c r="V64" s="3">
        <v>0</v>
      </c>
      <c r="W64" s="3">
        <v>0</v>
      </c>
      <c r="X64" s="3">
        <v>0</v>
      </c>
      <c r="Y64" s="3">
        <v>0</v>
      </c>
      <c r="Z64" s="8"/>
    </row>
    <row r="65" spans="1:26" x14ac:dyDescent="0.25">
      <c r="A65" t="s">
        <v>323</v>
      </c>
      <c r="B65" s="1">
        <v>39198</v>
      </c>
      <c r="C65" s="2" t="s">
        <v>389</v>
      </c>
      <c r="D65" s="3"/>
      <c r="E65" s="3"/>
      <c r="F65">
        <f>IF(ISNUMBER(SEARCH("BB",BrachyTxs[[#This Row],[Physicist(s)]])),1,0)</f>
        <v>0</v>
      </c>
      <c r="G65" s="3">
        <f>IF(ISNUMBER(SEARCH("DZ",BrachyTxs[[#This Row],[Physicist(s)]])),1,0)</f>
        <v>0</v>
      </c>
      <c r="H65" s="3">
        <f>IF(ISNUMBER(SEARCH("ZC",BrachyTxs[[#This Row],[Physicist(s)]])),1,0)</f>
        <v>0</v>
      </c>
      <c r="I65" s="3">
        <f>IF(ISNUMBER(SEARCH("DJ",BrachyTxs[[#This Row],[MD(s)]])),1,0)</f>
        <v>0</v>
      </c>
      <c r="J65" s="3">
        <f>IF(ISNUMBER(SEARCH("JS",BrachyTxs[[#This Row],[MD(s)]])),1,0)</f>
        <v>0</v>
      </c>
      <c r="K65" s="3"/>
      <c r="L65" s="3"/>
      <c r="M65" s="3"/>
      <c r="N65" s="3"/>
      <c r="O65" t="b">
        <f>ValidatePatient(BrachyTxs[[#This Row],[Pt]])</f>
        <v>0</v>
      </c>
      <c r="P65" t="b">
        <f>ValidatePhysicists(BrachyTxs[[#This Row],[Physicist(s)]])</f>
        <v>1</v>
      </c>
      <c r="Q65" t="b">
        <f>ValidateMDs(BrachyTxs[[#This Row],[MD(s)]])</f>
        <v>1</v>
      </c>
      <c r="S65" s="3"/>
      <c r="T65" s="5" t="s">
        <v>366</v>
      </c>
      <c r="U65" s="3">
        <v>5</v>
      </c>
      <c r="V65" s="3">
        <v>0</v>
      </c>
      <c r="W65" s="3">
        <v>0</v>
      </c>
      <c r="X65" s="3">
        <v>0</v>
      </c>
      <c r="Y65" s="3">
        <v>0</v>
      </c>
      <c r="Z65" s="8"/>
    </row>
    <row r="66" spans="1:26" x14ac:dyDescent="0.25">
      <c r="A66" t="s">
        <v>323</v>
      </c>
      <c r="B66" s="1">
        <v>39212</v>
      </c>
      <c r="C66" s="2" t="s">
        <v>182</v>
      </c>
      <c r="D66" s="3"/>
      <c r="E66" s="3"/>
      <c r="F66">
        <f>IF(ISNUMBER(SEARCH("BB",BrachyTxs[[#This Row],[Physicist(s)]])),1,0)</f>
        <v>0</v>
      </c>
      <c r="G66" s="3">
        <f>IF(ISNUMBER(SEARCH("DZ",BrachyTxs[[#This Row],[Physicist(s)]])),1,0)</f>
        <v>0</v>
      </c>
      <c r="H66" s="3">
        <f>IF(ISNUMBER(SEARCH("ZC",BrachyTxs[[#This Row],[Physicist(s)]])),1,0)</f>
        <v>0</v>
      </c>
      <c r="I66" s="3">
        <f>IF(ISNUMBER(SEARCH("DJ",BrachyTxs[[#This Row],[MD(s)]])),1,0)</f>
        <v>0</v>
      </c>
      <c r="J66" s="3">
        <f>IF(ISNUMBER(SEARCH("JS",BrachyTxs[[#This Row],[MD(s)]])),1,0)</f>
        <v>0</v>
      </c>
      <c r="K66" s="3"/>
      <c r="L66" s="3"/>
      <c r="M66" s="3"/>
      <c r="N66" s="3"/>
      <c r="O66" t="b">
        <f>ValidatePatient(BrachyTxs[[#This Row],[Pt]])</f>
        <v>1</v>
      </c>
      <c r="P66" t="b">
        <f>ValidatePhysicists(BrachyTxs[[#This Row],[Physicist(s)]])</f>
        <v>1</v>
      </c>
      <c r="Q66" t="b">
        <f>ValidateMDs(BrachyTxs[[#This Row],[MD(s)]])</f>
        <v>1</v>
      </c>
      <c r="S66" s="3"/>
      <c r="T66" s="5" t="s">
        <v>367</v>
      </c>
      <c r="U66" s="3">
        <v>1</v>
      </c>
      <c r="V66" s="3">
        <v>0</v>
      </c>
      <c r="W66" s="3">
        <v>4</v>
      </c>
      <c r="X66" s="3">
        <v>0</v>
      </c>
      <c r="Y66" s="3">
        <v>0</v>
      </c>
      <c r="Z66" s="8"/>
    </row>
    <row r="67" spans="1:26" x14ac:dyDescent="0.25">
      <c r="A67" t="s">
        <v>323</v>
      </c>
      <c r="B67" s="1">
        <v>39239</v>
      </c>
      <c r="C67" s="2" t="s">
        <v>192</v>
      </c>
      <c r="D67" s="3"/>
      <c r="E67" s="3"/>
      <c r="F67">
        <f>IF(ISNUMBER(SEARCH("BB",BrachyTxs[[#This Row],[Physicist(s)]])),1,0)</f>
        <v>0</v>
      </c>
      <c r="G67" s="3">
        <f>IF(ISNUMBER(SEARCH("DZ",BrachyTxs[[#This Row],[Physicist(s)]])),1,0)</f>
        <v>0</v>
      </c>
      <c r="H67" s="3">
        <f>IF(ISNUMBER(SEARCH("ZC",BrachyTxs[[#This Row],[Physicist(s)]])),1,0)</f>
        <v>0</v>
      </c>
      <c r="I67" s="3">
        <f>IF(ISNUMBER(SEARCH("DJ",BrachyTxs[[#This Row],[MD(s)]])),1,0)</f>
        <v>0</v>
      </c>
      <c r="J67" s="3">
        <f>IF(ISNUMBER(SEARCH("JS",BrachyTxs[[#This Row],[MD(s)]])),1,0)</f>
        <v>0</v>
      </c>
      <c r="K67" s="3"/>
      <c r="L67" s="3"/>
      <c r="M67" s="3"/>
      <c r="N67" s="3"/>
      <c r="O67" t="b">
        <f>ValidatePatient(BrachyTxs[[#This Row],[Pt]])</f>
        <v>1</v>
      </c>
      <c r="P67" t="b">
        <f>ValidatePhysicists(BrachyTxs[[#This Row],[Physicist(s)]])</f>
        <v>1</v>
      </c>
      <c r="Q67" t="b">
        <f>ValidateMDs(BrachyTxs[[#This Row],[MD(s)]])</f>
        <v>1</v>
      </c>
      <c r="S67" s="3"/>
      <c r="T67" s="5" t="s">
        <v>368</v>
      </c>
      <c r="U67" s="3">
        <v>7</v>
      </c>
      <c r="V67" s="3">
        <v>3</v>
      </c>
      <c r="W67" s="3">
        <v>12</v>
      </c>
      <c r="X67" s="3">
        <v>9</v>
      </c>
      <c r="Y67" s="3">
        <v>0</v>
      </c>
      <c r="Z67" s="8"/>
    </row>
    <row r="68" spans="1:26" x14ac:dyDescent="0.25">
      <c r="A68" t="s">
        <v>324</v>
      </c>
      <c r="B68" s="1">
        <v>39259</v>
      </c>
      <c r="C68" s="2" t="s">
        <v>170</v>
      </c>
      <c r="D68" s="3"/>
      <c r="E68" s="3"/>
      <c r="F68">
        <f>IF(ISNUMBER(SEARCH("BB",BrachyTxs[[#This Row],[Physicist(s)]])),1,0)</f>
        <v>0</v>
      </c>
      <c r="G68" s="3">
        <f>IF(ISNUMBER(SEARCH("DZ",BrachyTxs[[#This Row],[Physicist(s)]])),1,0)</f>
        <v>0</v>
      </c>
      <c r="H68" s="3">
        <f>IF(ISNUMBER(SEARCH("ZC",BrachyTxs[[#This Row],[Physicist(s)]])),1,0)</f>
        <v>0</v>
      </c>
      <c r="I68" s="3">
        <f>IF(ISNUMBER(SEARCH("DJ",BrachyTxs[[#This Row],[MD(s)]])),1,0)</f>
        <v>0</v>
      </c>
      <c r="J68" s="3">
        <f>IF(ISNUMBER(SEARCH("JS",BrachyTxs[[#This Row],[MD(s)]])),1,0)</f>
        <v>0</v>
      </c>
      <c r="K68" s="3"/>
      <c r="L68" s="3"/>
      <c r="M68" s="3"/>
      <c r="N68" s="3"/>
      <c r="O68" t="b">
        <f>ValidatePatient(BrachyTxs[[#This Row],[Pt]])</f>
        <v>1</v>
      </c>
      <c r="P68" t="b">
        <f>ValidatePhysicists(BrachyTxs[[#This Row],[Physicist(s)]])</f>
        <v>1</v>
      </c>
      <c r="Q68" t="b">
        <f>ValidateMDs(BrachyTxs[[#This Row],[MD(s)]])</f>
        <v>1</v>
      </c>
      <c r="S68" s="3"/>
      <c r="T68" s="4" t="s">
        <v>351</v>
      </c>
      <c r="U68" s="3">
        <v>19</v>
      </c>
      <c r="V68" s="3">
        <v>5</v>
      </c>
      <c r="W68" s="3">
        <v>24</v>
      </c>
      <c r="X68" s="3">
        <v>18</v>
      </c>
      <c r="Y68" s="3">
        <v>9</v>
      </c>
    </row>
    <row r="69" spans="1:26" x14ac:dyDescent="0.25">
      <c r="A69" t="s">
        <v>323</v>
      </c>
      <c r="B69" s="1">
        <v>39262</v>
      </c>
      <c r="C69" s="2" t="s">
        <v>233</v>
      </c>
      <c r="D69" s="3"/>
      <c r="E69" s="3"/>
      <c r="F69">
        <f>IF(ISNUMBER(SEARCH("BB",BrachyTxs[[#This Row],[Physicist(s)]])),1,0)</f>
        <v>0</v>
      </c>
      <c r="G69" s="3">
        <f>IF(ISNUMBER(SEARCH("DZ",BrachyTxs[[#This Row],[Physicist(s)]])),1,0)</f>
        <v>0</v>
      </c>
      <c r="H69" s="3">
        <f>IF(ISNUMBER(SEARCH("ZC",BrachyTxs[[#This Row],[Physicist(s)]])),1,0)</f>
        <v>0</v>
      </c>
      <c r="I69" s="3">
        <f>IF(ISNUMBER(SEARCH("DJ",BrachyTxs[[#This Row],[MD(s)]])),1,0)</f>
        <v>0</v>
      </c>
      <c r="J69" s="3">
        <f>IF(ISNUMBER(SEARCH("JS",BrachyTxs[[#This Row],[MD(s)]])),1,0)</f>
        <v>0</v>
      </c>
      <c r="K69" s="3"/>
      <c r="L69" s="3"/>
      <c r="M69" s="3"/>
      <c r="N69" s="3"/>
      <c r="O69" t="b">
        <f>ValidatePatient(BrachyTxs[[#This Row],[Pt]])</f>
        <v>1</v>
      </c>
      <c r="P69" t="b">
        <f>ValidatePhysicists(BrachyTxs[[#This Row],[Physicist(s)]])</f>
        <v>1</v>
      </c>
      <c r="Q69" t="b">
        <f>ValidateMDs(BrachyTxs[[#This Row],[MD(s)]])</f>
        <v>1</v>
      </c>
      <c r="S69" s="3"/>
    </row>
    <row r="70" spans="1:26" x14ac:dyDescent="0.25">
      <c r="A70" t="s">
        <v>323</v>
      </c>
      <c r="B70" s="1">
        <v>39279</v>
      </c>
      <c r="C70" s="2" t="s">
        <v>55</v>
      </c>
      <c r="D70" s="3"/>
      <c r="E70" s="3"/>
      <c r="F70">
        <f>IF(ISNUMBER(SEARCH("BB",BrachyTxs[[#This Row],[Physicist(s)]])),1,0)</f>
        <v>0</v>
      </c>
      <c r="G70" s="3">
        <f>IF(ISNUMBER(SEARCH("DZ",BrachyTxs[[#This Row],[Physicist(s)]])),1,0)</f>
        <v>0</v>
      </c>
      <c r="H70" s="3">
        <f>IF(ISNUMBER(SEARCH("ZC",BrachyTxs[[#This Row],[Physicist(s)]])),1,0)</f>
        <v>0</v>
      </c>
      <c r="I70" s="3">
        <f>IF(ISNUMBER(SEARCH("DJ",BrachyTxs[[#This Row],[MD(s)]])),1,0)</f>
        <v>0</v>
      </c>
      <c r="J70" s="3">
        <f>IF(ISNUMBER(SEARCH("JS",BrachyTxs[[#This Row],[MD(s)]])),1,0)</f>
        <v>0</v>
      </c>
      <c r="K70" s="3"/>
      <c r="L70" s="3"/>
      <c r="M70" s="3"/>
      <c r="N70" s="3"/>
      <c r="O70" t="b">
        <f>ValidatePatient(BrachyTxs[[#This Row],[Pt]])</f>
        <v>1</v>
      </c>
      <c r="P70" t="b">
        <f>ValidatePhysicists(BrachyTxs[[#This Row],[Physicist(s)]])</f>
        <v>1</v>
      </c>
      <c r="Q70" t="b">
        <f>ValidateMDs(BrachyTxs[[#This Row],[MD(s)]])</f>
        <v>1</v>
      </c>
      <c r="S70" s="3"/>
    </row>
    <row r="71" spans="1:26" x14ac:dyDescent="0.25">
      <c r="A71" t="s">
        <v>323</v>
      </c>
      <c r="B71" s="1">
        <v>39301</v>
      </c>
      <c r="C71" s="2" t="s">
        <v>29</v>
      </c>
      <c r="D71" s="3"/>
      <c r="E71" s="3"/>
      <c r="F71">
        <f>IF(ISNUMBER(SEARCH("BB",BrachyTxs[[#This Row],[Physicist(s)]])),1,0)</f>
        <v>0</v>
      </c>
      <c r="G71" s="3">
        <f>IF(ISNUMBER(SEARCH("DZ",BrachyTxs[[#This Row],[Physicist(s)]])),1,0)</f>
        <v>0</v>
      </c>
      <c r="H71" s="3">
        <f>IF(ISNUMBER(SEARCH("ZC",BrachyTxs[[#This Row],[Physicist(s)]])),1,0)</f>
        <v>0</v>
      </c>
      <c r="I71" s="3">
        <f>IF(ISNUMBER(SEARCH("DJ",BrachyTxs[[#This Row],[MD(s)]])),1,0)</f>
        <v>0</v>
      </c>
      <c r="J71" s="3">
        <f>IF(ISNUMBER(SEARCH("JS",BrachyTxs[[#This Row],[MD(s)]])),1,0)</f>
        <v>0</v>
      </c>
      <c r="K71" s="3"/>
      <c r="L71" s="3"/>
      <c r="M71" s="3"/>
      <c r="N71" s="3"/>
      <c r="O71" t="b">
        <f>ValidatePatient(BrachyTxs[[#This Row],[Pt]])</f>
        <v>1</v>
      </c>
      <c r="P71" t="b">
        <f>ValidatePhysicists(BrachyTxs[[#This Row],[Physicist(s)]])</f>
        <v>1</v>
      </c>
      <c r="Q71" t="b">
        <f>ValidateMDs(BrachyTxs[[#This Row],[MD(s)]])</f>
        <v>1</v>
      </c>
      <c r="S71" s="3"/>
    </row>
    <row r="72" spans="1:26" x14ac:dyDescent="0.25">
      <c r="A72" t="s">
        <v>323</v>
      </c>
      <c r="B72" s="1">
        <v>39303</v>
      </c>
      <c r="C72" s="2" t="s">
        <v>124</v>
      </c>
      <c r="D72" s="3"/>
      <c r="E72" s="3"/>
      <c r="F72">
        <f>IF(ISNUMBER(SEARCH("BB",BrachyTxs[[#This Row],[Physicist(s)]])),1,0)</f>
        <v>0</v>
      </c>
      <c r="G72" s="3">
        <f>IF(ISNUMBER(SEARCH("DZ",BrachyTxs[[#This Row],[Physicist(s)]])),1,0)</f>
        <v>0</v>
      </c>
      <c r="H72" s="3">
        <f>IF(ISNUMBER(SEARCH("ZC",BrachyTxs[[#This Row],[Physicist(s)]])),1,0)</f>
        <v>0</v>
      </c>
      <c r="I72" s="3">
        <f>IF(ISNUMBER(SEARCH("DJ",BrachyTxs[[#This Row],[MD(s)]])),1,0)</f>
        <v>0</v>
      </c>
      <c r="J72" s="3">
        <f>IF(ISNUMBER(SEARCH("JS",BrachyTxs[[#This Row],[MD(s)]])),1,0)</f>
        <v>0</v>
      </c>
      <c r="K72" s="3"/>
      <c r="L72" s="3"/>
      <c r="M72" s="3"/>
      <c r="N72" s="3"/>
      <c r="O72" t="b">
        <f>ValidatePatient(BrachyTxs[[#This Row],[Pt]])</f>
        <v>1</v>
      </c>
      <c r="P72" t="b">
        <f>ValidatePhysicists(BrachyTxs[[#This Row],[Physicist(s)]])</f>
        <v>1</v>
      </c>
      <c r="Q72" t="b">
        <f>ValidateMDs(BrachyTxs[[#This Row],[MD(s)]])</f>
        <v>1</v>
      </c>
      <c r="S72" s="3"/>
    </row>
    <row r="73" spans="1:26" x14ac:dyDescent="0.25">
      <c r="A73" t="s">
        <v>323</v>
      </c>
      <c r="B73" s="1">
        <v>39322</v>
      </c>
      <c r="C73" s="2" t="s">
        <v>206</v>
      </c>
      <c r="D73" s="3"/>
      <c r="E73" s="3"/>
      <c r="F73">
        <f>IF(ISNUMBER(SEARCH("BB",BrachyTxs[[#This Row],[Physicist(s)]])),1,0)</f>
        <v>0</v>
      </c>
      <c r="G73" s="3">
        <f>IF(ISNUMBER(SEARCH("DZ",BrachyTxs[[#This Row],[Physicist(s)]])),1,0)</f>
        <v>0</v>
      </c>
      <c r="H73" s="3">
        <f>IF(ISNUMBER(SEARCH("ZC",BrachyTxs[[#This Row],[Physicist(s)]])),1,0)</f>
        <v>0</v>
      </c>
      <c r="I73" s="3">
        <f>IF(ISNUMBER(SEARCH("DJ",BrachyTxs[[#This Row],[MD(s)]])),1,0)</f>
        <v>0</v>
      </c>
      <c r="J73" s="3">
        <f>IF(ISNUMBER(SEARCH("JS",BrachyTxs[[#This Row],[MD(s)]])),1,0)</f>
        <v>0</v>
      </c>
      <c r="K73" s="3"/>
      <c r="L73" s="3"/>
      <c r="M73" s="3"/>
      <c r="N73" s="3"/>
      <c r="O73" t="b">
        <f>ValidatePatient(BrachyTxs[[#This Row],[Pt]])</f>
        <v>1</v>
      </c>
      <c r="P73" t="b">
        <f>ValidatePhysicists(BrachyTxs[[#This Row],[Physicist(s)]])</f>
        <v>1</v>
      </c>
      <c r="Q73" t="b">
        <f>ValidateMDs(BrachyTxs[[#This Row],[MD(s)]])</f>
        <v>1</v>
      </c>
      <c r="S73" s="3"/>
    </row>
    <row r="74" spans="1:26" x14ac:dyDescent="0.25">
      <c r="A74" t="s">
        <v>325</v>
      </c>
      <c r="B74" s="1">
        <v>39329</v>
      </c>
      <c r="C74" s="2" t="s">
        <v>244</v>
      </c>
      <c r="D74" s="3"/>
      <c r="E74" s="3"/>
      <c r="F74">
        <f>IF(ISNUMBER(SEARCH("BB",BrachyTxs[[#This Row],[Physicist(s)]])),1,0)</f>
        <v>0</v>
      </c>
      <c r="G74" s="3">
        <f>IF(ISNUMBER(SEARCH("DZ",BrachyTxs[[#This Row],[Physicist(s)]])),1,0)</f>
        <v>0</v>
      </c>
      <c r="H74" s="3">
        <f>IF(ISNUMBER(SEARCH("ZC",BrachyTxs[[#This Row],[Physicist(s)]])),1,0)</f>
        <v>0</v>
      </c>
      <c r="I74" s="3">
        <f>IF(ISNUMBER(SEARCH("DJ",BrachyTxs[[#This Row],[MD(s)]])),1,0)</f>
        <v>0</v>
      </c>
      <c r="J74" s="3">
        <f>IF(ISNUMBER(SEARCH("JS",BrachyTxs[[#This Row],[MD(s)]])),1,0)</f>
        <v>0</v>
      </c>
      <c r="K74" s="3"/>
      <c r="L74" s="3"/>
      <c r="M74" s="3"/>
      <c r="N74" s="3"/>
      <c r="O74" t="b">
        <f>ValidatePatient(BrachyTxs[[#This Row],[Pt]])</f>
        <v>1</v>
      </c>
      <c r="P74" t="b">
        <f>ValidatePhysicists(BrachyTxs[[#This Row],[Physicist(s)]])</f>
        <v>1</v>
      </c>
      <c r="Q74" t="b">
        <f>ValidateMDs(BrachyTxs[[#This Row],[MD(s)]])</f>
        <v>1</v>
      </c>
      <c r="S74" s="3"/>
    </row>
    <row r="75" spans="1:26" x14ac:dyDescent="0.25">
      <c r="A75" t="s">
        <v>323</v>
      </c>
      <c r="B75" s="1">
        <v>39374</v>
      </c>
      <c r="C75" s="2" t="s">
        <v>306</v>
      </c>
      <c r="D75" s="3"/>
      <c r="E75" s="3"/>
      <c r="F75">
        <f>IF(ISNUMBER(SEARCH("BB",BrachyTxs[[#This Row],[Physicist(s)]])),1,0)</f>
        <v>0</v>
      </c>
      <c r="G75" s="3">
        <f>IF(ISNUMBER(SEARCH("DZ",BrachyTxs[[#This Row],[Physicist(s)]])),1,0)</f>
        <v>0</v>
      </c>
      <c r="H75" s="3">
        <f>IF(ISNUMBER(SEARCH("ZC",BrachyTxs[[#This Row],[Physicist(s)]])),1,0)</f>
        <v>0</v>
      </c>
      <c r="I75" s="3">
        <f>IF(ISNUMBER(SEARCH("DJ",BrachyTxs[[#This Row],[MD(s)]])),1,0)</f>
        <v>0</v>
      </c>
      <c r="J75" s="3">
        <f>IF(ISNUMBER(SEARCH("JS",BrachyTxs[[#This Row],[MD(s)]])),1,0)</f>
        <v>0</v>
      </c>
      <c r="K75" s="3"/>
      <c r="L75" s="3"/>
      <c r="M75" s="3"/>
      <c r="N75" s="3"/>
      <c r="O75" t="b">
        <f>ValidatePatient(BrachyTxs[[#This Row],[Pt]])</f>
        <v>1</v>
      </c>
      <c r="P75" t="b">
        <f>ValidatePhysicists(BrachyTxs[[#This Row],[Physicist(s)]])</f>
        <v>1</v>
      </c>
      <c r="Q75" t="b">
        <f>ValidateMDs(BrachyTxs[[#This Row],[MD(s)]])</f>
        <v>1</v>
      </c>
      <c r="S75" s="3"/>
    </row>
    <row r="76" spans="1:26" x14ac:dyDescent="0.25">
      <c r="A76" t="s">
        <v>323</v>
      </c>
      <c r="B76" s="1">
        <v>39377</v>
      </c>
      <c r="C76" s="2" t="s">
        <v>61</v>
      </c>
      <c r="D76" s="3"/>
      <c r="E76" s="3"/>
      <c r="F76">
        <f>IF(ISNUMBER(SEARCH("BB",BrachyTxs[[#This Row],[Physicist(s)]])),1,0)</f>
        <v>0</v>
      </c>
      <c r="G76" s="3">
        <f>IF(ISNUMBER(SEARCH("DZ",BrachyTxs[[#This Row],[Physicist(s)]])),1,0)</f>
        <v>0</v>
      </c>
      <c r="H76" s="3">
        <f>IF(ISNUMBER(SEARCH("ZC",BrachyTxs[[#This Row],[Physicist(s)]])),1,0)</f>
        <v>0</v>
      </c>
      <c r="I76" s="3">
        <f>IF(ISNUMBER(SEARCH("DJ",BrachyTxs[[#This Row],[MD(s)]])),1,0)</f>
        <v>0</v>
      </c>
      <c r="J76" s="3">
        <f>IF(ISNUMBER(SEARCH("JS",BrachyTxs[[#This Row],[MD(s)]])),1,0)</f>
        <v>0</v>
      </c>
      <c r="K76" s="3"/>
      <c r="L76" s="3"/>
      <c r="M76" s="3"/>
      <c r="N76" s="3"/>
      <c r="O76" t="b">
        <f>ValidatePatient(BrachyTxs[[#This Row],[Pt]])</f>
        <v>1</v>
      </c>
      <c r="P76" t="b">
        <f>ValidatePhysicists(BrachyTxs[[#This Row],[Physicist(s)]])</f>
        <v>1</v>
      </c>
      <c r="Q76" t="b">
        <f>ValidateMDs(BrachyTxs[[#This Row],[MD(s)]])</f>
        <v>1</v>
      </c>
      <c r="S76" s="3"/>
    </row>
    <row r="77" spans="1:26" x14ac:dyDescent="0.25">
      <c r="A77" t="s">
        <v>325</v>
      </c>
      <c r="B77" s="1">
        <v>39385</v>
      </c>
      <c r="C77" s="2" t="s">
        <v>90</v>
      </c>
      <c r="D77" s="3"/>
      <c r="E77" s="3"/>
      <c r="F77">
        <f>IF(ISNUMBER(SEARCH("BB",BrachyTxs[[#This Row],[Physicist(s)]])),1,0)</f>
        <v>0</v>
      </c>
      <c r="G77" s="3">
        <f>IF(ISNUMBER(SEARCH("DZ",BrachyTxs[[#This Row],[Physicist(s)]])),1,0)</f>
        <v>0</v>
      </c>
      <c r="H77" s="3">
        <f>IF(ISNUMBER(SEARCH("ZC",BrachyTxs[[#This Row],[Physicist(s)]])),1,0)</f>
        <v>0</v>
      </c>
      <c r="I77" s="3">
        <f>IF(ISNUMBER(SEARCH("DJ",BrachyTxs[[#This Row],[MD(s)]])),1,0)</f>
        <v>0</v>
      </c>
      <c r="J77" s="3">
        <f>IF(ISNUMBER(SEARCH("JS",BrachyTxs[[#This Row],[MD(s)]])),1,0)</f>
        <v>0</v>
      </c>
      <c r="K77" s="3"/>
      <c r="L77" s="3"/>
      <c r="M77" s="3"/>
      <c r="N77" s="3"/>
      <c r="O77" t="b">
        <f>ValidatePatient(BrachyTxs[[#This Row],[Pt]])</f>
        <v>1</v>
      </c>
      <c r="P77" t="b">
        <f>ValidatePhysicists(BrachyTxs[[#This Row],[Physicist(s)]])</f>
        <v>1</v>
      </c>
      <c r="Q77" t="b">
        <f>ValidateMDs(BrachyTxs[[#This Row],[MD(s)]])</f>
        <v>1</v>
      </c>
      <c r="S77" s="3"/>
    </row>
    <row r="78" spans="1:26" x14ac:dyDescent="0.25">
      <c r="A78" t="s">
        <v>325</v>
      </c>
      <c r="B78" s="1">
        <v>39395</v>
      </c>
      <c r="C78" s="2" t="s">
        <v>241</v>
      </c>
      <c r="D78" s="3"/>
      <c r="E78" s="3"/>
      <c r="F78">
        <f>IF(ISNUMBER(SEARCH("BB",BrachyTxs[[#This Row],[Physicist(s)]])),1,0)</f>
        <v>0</v>
      </c>
      <c r="G78" s="3">
        <f>IF(ISNUMBER(SEARCH("DZ",BrachyTxs[[#This Row],[Physicist(s)]])),1,0)</f>
        <v>0</v>
      </c>
      <c r="H78" s="3">
        <f>IF(ISNUMBER(SEARCH("ZC",BrachyTxs[[#This Row],[Physicist(s)]])),1,0)</f>
        <v>0</v>
      </c>
      <c r="I78" s="3">
        <f>IF(ISNUMBER(SEARCH("DJ",BrachyTxs[[#This Row],[MD(s)]])),1,0)</f>
        <v>0</v>
      </c>
      <c r="J78" s="3">
        <f>IF(ISNUMBER(SEARCH("JS",BrachyTxs[[#This Row],[MD(s)]])),1,0)</f>
        <v>0</v>
      </c>
      <c r="K78" s="3"/>
      <c r="L78" s="3"/>
      <c r="M78" s="3"/>
      <c r="N78" s="3"/>
      <c r="O78" t="b">
        <f>ValidatePatient(BrachyTxs[[#This Row],[Pt]])</f>
        <v>1</v>
      </c>
      <c r="P78" t="b">
        <f>ValidatePhysicists(BrachyTxs[[#This Row],[Physicist(s)]])</f>
        <v>1</v>
      </c>
      <c r="Q78" t="b">
        <f>ValidateMDs(BrachyTxs[[#This Row],[MD(s)]])</f>
        <v>1</v>
      </c>
      <c r="S78" s="3"/>
    </row>
    <row r="79" spans="1:26" x14ac:dyDescent="0.25">
      <c r="A79" t="s">
        <v>325</v>
      </c>
      <c r="B79" s="1">
        <v>39407</v>
      </c>
      <c r="C79" s="2" t="s">
        <v>295</v>
      </c>
      <c r="D79" s="3"/>
      <c r="E79" s="3"/>
      <c r="F79">
        <f>IF(ISNUMBER(SEARCH("BB",BrachyTxs[[#This Row],[Physicist(s)]])),1,0)</f>
        <v>0</v>
      </c>
      <c r="G79" s="3">
        <f>IF(ISNUMBER(SEARCH("DZ",BrachyTxs[[#This Row],[Physicist(s)]])),1,0)</f>
        <v>0</v>
      </c>
      <c r="H79" s="3">
        <f>IF(ISNUMBER(SEARCH("ZC",BrachyTxs[[#This Row],[Physicist(s)]])),1,0)</f>
        <v>0</v>
      </c>
      <c r="I79" s="3">
        <f>IF(ISNUMBER(SEARCH("DJ",BrachyTxs[[#This Row],[MD(s)]])),1,0)</f>
        <v>0</v>
      </c>
      <c r="J79" s="3">
        <f>IF(ISNUMBER(SEARCH("JS",BrachyTxs[[#This Row],[MD(s)]])),1,0)</f>
        <v>0</v>
      </c>
      <c r="K79" s="3"/>
      <c r="L79" s="3"/>
      <c r="M79" s="3"/>
      <c r="N79" s="3"/>
      <c r="O79" t="b">
        <f>ValidatePatient(BrachyTxs[[#This Row],[Pt]])</f>
        <v>1</v>
      </c>
      <c r="P79" t="b">
        <f>ValidatePhysicists(BrachyTxs[[#This Row],[Physicist(s)]])</f>
        <v>1</v>
      </c>
      <c r="Q79" t="b">
        <f>ValidateMDs(BrachyTxs[[#This Row],[MD(s)]])</f>
        <v>1</v>
      </c>
      <c r="S79" s="3"/>
    </row>
    <row r="80" spans="1:26" x14ac:dyDescent="0.25">
      <c r="A80" t="s">
        <v>325</v>
      </c>
      <c r="B80" s="1">
        <v>39429</v>
      </c>
      <c r="C80" s="2" t="s">
        <v>56</v>
      </c>
      <c r="D80" s="3"/>
      <c r="E80" s="3"/>
      <c r="F80">
        <f>IF(ISNUMBER(SEARCH("BB",BrachyTxs[[#This Row],[Physicist(s)]])),1,0)</f>
        <v>0</v>
      </c>
      <c r="G80" s="3">
        <f>IF(ISNUMBER(SEARCH("DZ",BrachyTxs[[#This Row],[Physicist(s)]])),1,0)</f>
        <v>0</v>
      </c>
      <c r="H80" s="3">
        <f>IF(ISNUMBER(SEARCH("ZC",BrachyTxs[[#This Row],[Physicist(s)]])),1,0)</f>
        <v>0</v>
      </c>
      <c r="I80" s="3">
        <f>IF(ISNUMBER(SEARCH("DJ",BrachyTxs[[#This Row],[MD(s)]])),1,0)</f>
        <v>0</v>
      </c>
      <c r="J80" s="3">
        <f>IF(ISNUMBER(SEARCH("JS",BrachyTxs[[#This Row],[MD(s)]])),1,0)</f>
        <v>0</v>
      </c>
      <c r="K80" s="3"/>
      <c r="L80" s="3"/>
      <c r="M80" s="3"/>
      <c r="N80" s="3"/>
      <c r="O80" t="b">
        <f>ValidatePatient(BrachyTxs[[#This Row],[Pt]])</f>
        <v>1</v>
      </c>
      <c r="P80" t="b">
        <f>ValidatePhysicists(BrachyTxs[[#This Row],[Physicist(s)]])</f>
        <v>1</v>
      </c>
      <c r="Q80" t="b">
        <f>ValidateMDs(BrachyTxs[[#This Row],[MD(s)]])</f>
        <v>1</v>
      </c>
      <c r="S80" s="3"/>
    </row>
    <row r="81" spans="1:19" x14ac:dyDescent="0.25">
      <c r="A81" t="s">
        <v>323</v>
      </c>
      <c r="B81" s="1">
        <v>39429</v>
      </c>
      <c r="C81" s="2" t="s">
        <v>178</v>
      </c>
      <c r="D81" s="3"/>
      <c r="E81" s="3"/>
      <c r="F81">
        <f>IF(ISNUMBER(SEARCH("BB",BrachyTxs[[#This Row],[Physicist(s)]])),1,0)</f>
        <v>0</v>
      </c>
      <c r="G81" s="3">
        <f>IF(ISNUMBER(SEARCH("DZ",BrachyTxs[[#This Row],[Physicist(s)]])),1,0)</f>
        <v>0</v>
      </c>
      <c r="H81" s="3">
        <f>IF(ISNUMBER(SEARCH("ZC",BrachyTxs[[#This Row],[Physicist(s)]])),1,0)</f>
        <v>0</v>
      </c>
      <c r="I81" s="3">
        <f>IF(ISNUMBER(SEARCH("DJ",BrachyTxs[[#This Row],[MD(s)]])),1,0)</f>
        <v>0</v>
      </c>
      <c r="J81" s="3">
        <f>IF(ISNUMBER(SEARCH("JS",BrachyTxs[[#This Row],[MD(s)]])),1,0)</f>
        <v>0</v>
      </c>
      <c r="K81" s="3"/>
      <c r="L81" s="3"/>
      <c r="M81" s="3"/>
      <c r="N81" s="3"/>
      <c r="O81" t="b">
        <f>ValidatePatient(BrachyTxs[[#This Row],[Pt]])</f>
        <v>1</v>
      </c>
      <c r="P81" t="b">
        <f>ValidatePhysicists(BrachyTxs[[#This Row],[Physicist(s)]])</f>
        <v>1</v>
      </c>
      <c r="Q81" t="b">
        <f>ValidateMDs(BrachyTxs[[#This Row],[MD(s)]])</f>
        <v>1</v>
      </c>
      <c r="S81" s="3"/>
    </row>
    <row r="82" spans="1:19" x14ac:dyDescent="0.25">
      <c r="A82" t="s">
        <v>324</v>
      </c>
      <c r="B82" s="1">
        <v>39436</v>
      </c>
      <c r="C82" s="2" t="s">
        <v>230</v>
      </c>
      <c r="D82" s="3"/>
      <c r="E82" s="3"/>
      <c r="F82">
        <f>IF(ISNUMBER(SEARCH("BB",BrachyTxs[[#This Row],[Physicist(s)]])),1,0)</f>
        <v>0</v>
      </c>
      <c r="G82" s="3">
        <f>IF(ISNUMBER(SEARCH("DZ",BrachyTxs[[#This Row],[Physicist(s)]])),1,0)</f>
        <v>0</v>
      </c>
      <c r="H82" s="3">
        <f>IF(ISNUMBER(SEARCH("ZC",BrachyTxs[[#This Row],[Physicist(s)]])),1,0)</f>
        <v>0</v>
      </c>
      <c r="I82" s="3">
        <f>IF(ISNUMBER(SEARCH("DJ",BrachyTxs[[#This Row],[MD(s)]])),1,0)</f>
        <v>0</v>
      </c>
      <c r="J82" s="3">
        <f>IF(ISNUMBER(SEARCH("JS",BrachyTxs[[#This Row],[MD(s)]])),1,0)</f>
        <v>0</v>
      </c>
      <c r="K82" s="3"/>
      <c r="L82" s="3"/>
      <c r="M82" s="3"/>
      <c r="N82" s="3"/>
      <c r="O82" t="b">
        <f>ValidatePatient(BrachyTxs[[#This Row],[Pt]])</f>
        <v>1</v>
      </c>
      <c r="P82" t="b">
        <f>ValidatePhysicists(BrachyTxs[[#This Row],[Physicist(s)]])</f>
        <v>1</v>
      </c>
      <c r="Q82" t="b">
        <f>ValidateMDs(BrachyTxs[[#This Row],[MD(s)]])</f>
        <v>1</v>
      </c>
      <c r="S82" s="3"/>
    </row>
    <row r="83" spans="1:19" x14ac:dyDescent="0.25">
      <c r="A83" t="s">
        <v>324</v>
      </c>
      <c r="B83" s="1">
        <v>39450</v>
      </c>
      <c r="C83" s="2" t="s">
        <v>230</v>
      </c>
      <c r="D83" s="3"/>
      <c r="E83" s="3"/>
      <c r="F83">
        <f>IF(ISNUMBER(SEARCH("BB",BrachyTxs[[#This Row],[Physicist(s)]])),1,0)</f>
        <v>0</v>
      </c>
      <c r="G83" s="3">
        <f>IF(ISNUMBER(SEARCH("DZ",BrachyTxs[[#This Row],[Physicist(s)]])),1,0)</f>
        <v>0</v>
      </c>
      <c r="H83" s="3">
        <f>IF(ISNUMBER(SEARCH("ZC",BrachyTxs[[#This Row],[Physicist(s)]])),1,0)</f>
        <v>0</v>
      </c>
      <c r="I83" s="3">
        <f>IF(ISNUMBER(SEARCH("DJ",BrachyTxs[[#This Row],[MD(s)]])),1,0)</f>
        <v>0</v>
      </c>
      <c r="J83" s="3">
        <f>IF(ISNUMBER(SEARCH("JS",BrachyTxs[[#This Row],[MD(s)]])),1,0)</f>
        <v>0</v>
      </c>
      <c r="K83" s="3"/>
      <c r="L83" s="3"/>
      <c r="M83" s="3"/>
      <c r="N83" s="3"/>
      <c r="O83" t="b">
        <f>ValidatePatient(BrachyTxs[[#This Row],[Pt]])</f>
        <v>1</v>
      </c>
      <c r="P83" t="b">
        <f>ValidatePhysicists(BrachyTxs[[#This Row],[Physicist(s)]])</f>
        <v>1</v>
      </c>
      <c r="Q83" t="b">
        <f>ValidateMDs(BrachyTxs[[#This Row],[MD(s)]])</f>
        <v>1</v>
      </c>
      <c r="S83" s="3"/>
    </row>
    <row r="84" spans="1:19" x14ac:dyDescent="0.25">
      <c r="A84" t="s">
        <v>325</v>
      </c>
      <c r="B84" s="1">
        <v>39464</v>
      </c>
      <c r="C84" s="2" t="s">
        <v>5</v>
      </c>
      <c r="D84" s="3"/>
      <c r="E84" s="3"/>
      <c r="F84">
        <f>IF(ISNUMBER(SEARCH("BB",BrachyTxs[[#This Row],[Physicist(s)]])),1,0)</f>
        <v>0</v>
      </c>
      <c r="G84" s="3">
        <f>IF(ISNUMBER(SEARCH("DZ",BrachyTxs[[#This Row],[Physicist(s)]])),1,0)</f>
        <v>0</v>
      </c>
      <c r="H84" s="3">
        <f>IF(ISNUMBER(SEARCH("ZC",BrachyTxs[[#This Row],[Physicist(s)]])),1,0)</f>
        <v>0</v>
      </c>
      <c r="I84" s="3">
        <f>IF(ISNUMBER(SEARCH("DJ",BrachyTxs[[#This Row],[MD(s)]])),1,0)</f>
        <v>0</v>
      </c>
      <c r="J84" s="3">
        <f>IF(ISNUMBER(SEARCH("JS",BrachyTxs[[#This Row],[MD(s)]])),1,0)</f>
        <v>0</v>
      </c>
      <c r="K84" s="3"/>
      <c r="L84" s="3"/>
      <c r="M84" s="3"/>
      <c r="N84" s="3"/>
      <c r="O84" t="b">
        <f>ValidatePatient(BrachyTxs[[#This Row],[Pt]])</f>
        <v>1</v>
      </c>
      <c r="P84" t="b">
        <f>ValidatePhysicists(BrachyTxs[[#This Row],[Physicist(s)]])</f>
        <v>1</v>
      </c>
      <c r="Q84" t="b">
        <f>ValidateMDs(BrachyTxs[[#This Row],[MD(s)]])</f>
        <v>1</v>
      </c>
      <c r="S84" s="3"/>
    </row>
    <row r="85" spans="1:19" x14ac:dyDescent="0.25">
      <c r="A85" t="s">
        <v>323</v>
      </c>
      <c r="B85" s="1">
        <v>39472</v>
      </c>
      <c r="C85" s="2" t="s">
        <v>4</v>
      </c>
      <c r="D85" s="3"/>
      <c r="E85" s="3"/>
      <c r="F85">
        <f>IF(ISNUMBER(SEARCH("BB",BrachyTxs[[#This Row],[Physicist(s)]])),1,0)</f>
        <v>0</v>
      </c>
      <c r="G85" s="3">
        <f>IF(ISNUMBER(SEARCH("DZ",BrachyTxs[[#This Row],[Physicist(s)]])),1,0)</f>
        <v>0</v>
      </c>
      <c r="H85" s="3">
        <f>IF(ISNUMBER(SEARCH("ZC",BrachyTxs[[#This Row],[Physicist(s)]])),1,0)</f>
        <v>0</v>
      </c>
      <c r="I85" s="3">
        <f>IF(ISNUMBER(SEARCH("DJ",BrachyTxs[[#This Row],[MD(s)]])),1,0)</f>
        <v>0</v>
      </c>
      <c r="J85" s="3">
        <f>IF(ISNUMBER(SEARCH("JS",BrachyTxs[[#This Row],[MD(s)]])),1,0)</f>
        <v>0</v>
      </c>
      <c r="K85" s="3"/>
      <c r="L85" s="3"/>
      <c r="M85" s="3"/>
      <c r="N85" s="3"/>
      <c r="O85" t="b">
        <f>ValidatePatient(BrachyTxs[[#This Row],[Pt]])</f>
        <v>1</v>
      </c>
      <c r="P85" t="b">
        <f>ValidatePhysicists(BrachyTxs[[#This Row],[Physicist(s)]])</f>
        <v>1</v>
      </c>
      <c r="Q85" t="b">
        <f>ValidateMDs(BrachyTxs[[#This Row],[MD(s)]])</f>
        <v>1</v>
      </c>
      <c r="S85" s="3"/>
    </row>
    <row r="86" spans="1:19" x14ac:dyDescent="0.25">
      <c r="A86" t="s">
        <v>325</v>
      </c>
      <c r="B86" s="1">
        <v>39478</v>
      </c>
      <c r="C86" s="2" t="s">
        <v>96</v>
      </c>
      <c r="D86" s="3"/>
      <c r="E86" s="3"/>
      <c r="F86">
        <f>IF(ISNUMBER(SEARCH("BB",BrachyTxs[[#This Row],[Physicist(s)]])),1,0)</f>
        <v>0</v>
      </c>
      <c r="G86" s="3">
        <f>IF(ISNUMBER(SEARCH("DZ",BrachyTxs[[#This Row],[Physicist(s)]])),1,0)</f>
        <v>0</v>
      </c>
      <c r="H86" s="3">
        <f>IF(ISNUMBER(SEARCH("ZC",BrachyTxs[[#This Row],[Physicist(s)]])),1,0)</f>
        <v>0</v>
      </c>
      <c r="I86" s="3">
        <f>IF(ISNUMBER(SEARCH("DJ",BrachyTxs[[#This Row],[MD(s)]])),1,0)</f>
        <v>0</v>
      </c>
      <c r="J86" s="3">
        <f>IF(ISNUMBER(SEARCH("JS",BrachyTxs[[#This Row],[MD(s)]])),1,0)</f>
        <v>0</v>
      </c>
      <c r="K86" s="3"/>
      <c r="L86" s="3"/>
      <c r="M86" s="3"/>
      <c r="N86" s="3"/>
      <c r="O86" t="b">
        <f>ValidatePatient(BrachyTxs[[#This Row],[Pt]])</f>
        <v>1</v>
      </c>
      <c r="P86" t="b">
        <f>ValidatePhysicists(BrachyTxs[[#This Row],[Physicist(s)]])</f>
        <v>1</v>
      </c>
      <c r="Q86" t="b">
        <f>ValidateMDs(BrachyTxs[[#This Row],[MD(s)]])</f>
        <v>1</v>
      </c>
      <c r="S86" s="3"/>
    </row>
    <row r="87" spans="1:19" x14ac:dyDescent="0.25">
      <c r="A87" t="s">
        <v>323</v>
      </c>
      <c r="B87" s="1">
        <v>39482</v>
      </c>
      <c r="C87" s="2" t="s">
        <v>183</v>
      </c>
      <c r="D87" s="3"/>
      <c r="E87" s="3"/>
      <c r="F87">
        <f>IF(ISNUMBER(SEARCH("BB",BrachyTxs[[#This Row],[Physicist(s)]])),1,0)</f>
        <v>0</v>
      </c>
      <c r="G87" s="3">
        <f>IF(ISNUMBER(SEARCH("DZ",BrachyTxs[[#This Row],[Physicist(s)]])),1,0)</f>
        <v>0</v>
      </c>
      <c r="H87" s="3">
        <f>IF(ISNUMBER(SEARCH("ZC",BrachyTxs[[#This Row],[Physicist(s)]])),1,0)</f>
        <v>0</v>
      </c>
      <c r="I87" s="3">
        <f>IF(ISNUMBER(SEARCH("DJ",BrachyTxs[[#This Row],[MD(s)]])),1,0)</f>
        <v>0</v>
      </c>
      <c r="J87" s="3">
        <f>IF(ISNUMBER(SEARCH("JS",BrachyTxs[[#This Row],[MD(s)]])),1,0)</f>
        <v>0</v>
      </c>
      <c r="K87" s="3"/>
      <c r="L87" s="3"/>
      <c r="M87" s="3"/>
      <c r="N87" s="3"/>
      <c r="O87" t="b">
        <f>ValidatePatient(BrachyTxs[[#This Row],[Pt]])</f>
        <v>1</v>
      </c>
      <c r="P87" t="b">
        <f>ValidatePhysicists(BrachyTxs[[#This Row],[Physicist(s)]])</f>
        <v>1</v>
      </c>
      <c r="Q87" t="b">
        <f>ValidateMDs(BrachyTxs[[#This Row],[MD(s)]])</f>
        <v>1</v>
      </c>
      <c r="S87" s="3"/>
    </row>
    <row r="88" spans="1:19" x14ac:dyDescent="0.25">
      <c r="A88" t="s">
        <v>323</v>
      </c>
      <c r="B88" s="1">
        <v>39496</v>
      </c>
      <c r="C88" s="2" t="s">
        <v>231</v>
      </c>
      <c r="D88" s="3"/>
      <c r="E88" s="3"/>
      <c r="F88">
        <f>IF(ISNUMBER(SEARCH("BB",BrachyTxs[[#This Row],[Physicist(s)]])),1,0)</f>
        <v>0</v>
      </c>
      <c r="G88" s="3">
        <f>IF(ISNUMBER(SEARCH("DZ",BrachyTxs[[#This Row],[Physicist(s)]])),1,0)</f>
        <v>0</v>
      </c>
      <c r="H88" s="3">
        <f>IF(ISNUMBER(SEARCH("ZC",BrachyTxs[[#This Row],[Physicist(s)]])),1,0)</f>
        <v>0</v>
      </c>
      <c r="I88" s="3">
        <f>IF(ISNUMBER(SEARCH("DJ",BrachyTxs[[#This Row],[MD(s)]])),1,0)</f>
        <v>0</v>
      </c>
      <c r="J88" s="3">
        <f>IF(ISNUMBER(SEARCH("JS",BrachyTxs[[#This Row],[MD(s)]])),1,0)</f>
        <v>0</v>
      </c>
      <c r="K88" s="3"/>
      <c r="L88" s="3"/>
      <c r="M88" s="3"/>
      <c r="N88" s="3"/>
      <c r="O88" t="b">
        <f>ValidatePatient(BrachyTxs[[#This Row],[Pt]])</f>
        <v>1</v>
      </c>
      <c r="P88" t="b">
        <f>ValidatePhysicists(BrachyTxs[[#This Row],[Physicist(s)]])</f>
        <v>1</v>
      </c>
      <c r="Q88" t="b">
        <f>ValidateMDs(BrachyTxs[[#This Row],[MD(s)]])</f>
        <v>1</v>
      </c>
      <c r="S88" s="3"/>
    </row>
    <row r="89" spans="1:19" x14ac:dyDescent="0.25">
      <c r="A89" t="s">
        <v>324</v>
      </c>
      <c r="B89" s="1">
        <v>39512</v>
      </c>
      <c r="C89" s="2" t="s">
        <v>258</v>
      </c>
      <c r="D89" s="3"/>
      <c r="E89" s="3"/>
      <c r="F89">
        <f>IF(ISNUMBER(SEARCH("BB",BrachyTxs[[#This Row],[Physicist(s)]])),1,0)</f>
        <v>0</v>
      </c>
      <c r="G89" s="3">
        <f>IF(ISNUMBER(SEARCH("DZ",BrachyTxs[[#This Row],[Physicist(s)]])),1,0)</f>
        <v>0</v>
      </c>
      <c r="H89" s="3">
        <f>IF(ISNUMBER(SEARCH("ZC",BrachyTxs[[#This Row],[Physicist(s)]])),1,0)</f>
        <v>0</v>
      </c>
      <c r="I89" s="3">
        <f>IF(ISNUMBER(SEARCH("DJ",BrachyTxs[[#This Row],[MD(s)]])),1,0)</f>
        <v>0</v>
      </c>
      <c r="J89" s="3">
        <f>IF(ISNUMBER(SEARCH("JS",BrachyTxs[[#This Row],[MD(s)]])),1,0)</f>
        <v>0</v>
      </c>
      <c r="K89" s="3"/>
      <c r="L89" s="3"/>
      <c r="M89" s="3"/>
      <c r="N89" s="3"/>
      <c r="O89" t="b">
        <f>ValidatePatient(BrachyTxs[[#This Row],[Pt]])</f>
        <v>1</v>
      </c>
      <c r="P89" t="b">
        <f>ValidatePhysicists(BrachyTxs[[#This Row],[Physicist(s)]])</f>
        <v>1</v>
      </c>
      <c r="Q89" t="b">
        <f>ValidateMDs(BrachyTxs[[#This Row],[MD(s)]])</f>
        <v>1</v>
      </c>
      <c r="S89" s="3"/>
    </row>
    <row r="90" spans="1:19" x14ac:dyDescent="0.25">
      <c r="A90" t="s">
        <v>324</v>
      </c>
      <c r="B90" s="1">
        <v>39513</v>
      </c>
      <c r="C90" s="2" t="s">
        <v>193</v>
      </c>
      <c r="D90" s="3"/>
      <c r="E90" s="3"/>
      <c r="F90">
        <f>IF(ISNUMBER(SEARCH("BB",BrachyTxs[[#This Row],[Physicist(s)]])),1,0)</f>
        <v>0</v>
      </c>
      <c r="G90" s="3">
        <f>IF(ISNUMBER(SEARCH("DZ",BrachyTxs[[#This Row],[Physicist(s)]])),1,0)</f>
        <v>0</v>
      </c>
      <c r="H90" s="3">
        <f>IF(ISNUMBER(SEARCH("ZC",BrachyTxs[[#This Row],[Physicist(s)]])),1,0)</f>
        <v>0</v>
      </c>
      <c r="I90" s="3">
        <f>IF(ISNUMBER(SEARCH("DJ",BrachyTxs[[#This Row],[MD(s)]])),1,0)</f>
        <v>0</v>
      </c>
      <c r="J90" s="3">
        <f>IF(ISNUMBER(SEARCH("JS",BrachyTxs[[#This Row],[MD(s)]])),1,0)</f>
        <v>0</v>
      </c>
      <c r="K90" s="3"/>
      <c r="L90" s="3"/>
      <c r="M90" s="3"/>
      <c r="N90" s="3"/>
      <c r="O90" t="b">
        <f>ValidatePatient(BrachyTxs[[#This Row],[Pt]])</f>
        <v>1</v>
      </c>
      <c r="P90" t="b">
        <f>ValidatePhysicists(BrachyTxs[[#This Row],[Physicist(s)]])</f>
        <v>1</v>
      </c>
      <c r="Q90" t="b">
        <f>ValidateMDs(BrachyTxs[[#This Row],[MD(s)]])</f>
        <v>1</v>
      </c>
      <c r="S90" s="3"/>
    </row>
    <row r="91" spans="1:19" x14ac:dyDescent="0.25">
      <c r="A91" t="s">
        <v>325</v>
      </c>
      <c r="B91" s="1">
        <v>39524</v>
      </c>
      <c r="C91" s="2" t="s">
        <v>19</v>
      </c>
      <c r="D91" s="3"/>
      <c r="E91" s="3"/>
      <c r="F91">
        <f>IF(ISNUMBER(SEARCH("BB",BrachyTxs[[#This Row],[Physicist(s)]])),1,0)</f>
        <v>0</v>
      </c>
      <c r="G91" s="3">
        <f>IF(ISNUMBER(SEARCH("DZ",BrachyTxs[[#This Row],[Physicist(s)]])),1,0)</f>
        <v>0</v>
      </c>
      <c r="H91" s="3">
        <f>IF(ISNUMBER(SEARCH("ZC",BrachyTxs[[#This Row],[Physicist(s)]])),1,0)</f>
        <v>0</v>
      </c>
      <c r="I91" s="3">
        <f>IF(ISNUMBER(SEARCH("DJ",BrachyTxs[[#This Row],[MD(s)]])),1,0)</f>
        <v>0</v>
      </c>
      <c r="J91" s="3">
        <f>IF(ISNUMBER(SEARCH("JS",BrachyTxs[[#This Row],[MD(s)]])),1,0)</f>
        <v>0</v>
      </c>
      <c r="K91" s="3"/>
      <c r="L91" s="3"/>
      <c r="M91" s="3"/>
      <c r="N91" s="3"/>
      <c r="O91" t="b">
        <f>ValidatePatient(BrachyTxs[[#This Row],[Pt]])</f>
        <v>1</v>
      </c>
      <c r="P91" t="b">
        <f>ValidatePhysicists(BrachyTxs[[#This Row],[Physicist(s)]])</f>
        <v>1</v>
      </c>
      <c r="Q91" t="b">
        <f>ValidateMDs(BrachyTxs[[#This Row],[MD(s)]])</f>
        <v>1</v>
      </c>
      <c r="S91" s="3"/>
    </row>
    <row r="92" spans="1:19" x14ac:dyDescent="0.25">
      <c r="A92" t="s">
        <v>324</v>
      </c>
      <c r="B92" s="1">
        <v>39526</v>
      </c>
      <c r="C92" s="2" t="s">
        <v>258</v>
      </c>
      <c r="D92" s="3"/>
      <c r="E92" s="3"/>
      <c r="F92">
        <f>IF(ISNUMBER(SEARCH("BB",BrachyTxs[[#This Row],[Physicist(s)]])),1,0)</f>
        <v>0</v>
      </c>
      <c r="G92" s="3">
        <f>IF(ISNUMBER(SEARCH("DZ",BrachyTxs[[#This Row],[Physicist(s)]])),1,0)</f>
        <v>0</v>
      </c>
      <c r="H92" s="3">
        <f>IF(ISNUMBER(SEARCH("ZC",BrachyTxs[[#This Row],[Physicist(s)]])),1,0)</f>
        <v>0</v>
      </c>
      <c r="I92" s="3">
        <f>IF(ISNUMBER(SEARCH("DJ",BrachyTxs[[#This Row],[MD(s)]])),1,0)</f>
        <v>0</v>
      </c>
      <c r="J92" s="3">
        <f>IF(ISNUMBER(SEARCH("JS",BrachyTxs[[#This Row],[MD(s)]])),1,0)</f>
        <v>0</v>
      </c>
      <c r="K92" s="3"/>
      <c r="L92" s="3"/>
      <c r="M92" s="3"/>
      <c r="N92" s="3"/>
      <c r="O92" t="b">
        <f>ValidatePatient(BrachyTxs[[#This Row],[Pt]])</f>
        <v>1</v>
      </c>
      <c r="P92" t="b">
        <f>ValidatePhysicists(BrachyTxs[[#This Row],[Physicist(s)]])</f>
        <v>1</v>
      </c>
      <c r="Q92" t="b">
        <f>ValidateMDs(BrachyTxs[[#This Row],[MD(s)]])</f>
        <v>1</v>
      </c>
      <c r="S92" s="3"/>
    </row>
    <row r="93" spans="1:19" x14ac:dyDescent="0.25">
      <c r="A93" t="s">
        <v>324</v>
      </c>
      <c r="B93" s="1">
        <v>39553</v>
      </c>
      <c r="C93" s="2" t="s">
        <v>154</v>
      </c>
      <c r="D93" s="3"/>
      <c r="E93" s="3"/>
      <c r="F93">
        <f>IF(ISNUMBER(SEARCH("BB",BrachyTxs[[#This Row],[Physicist(s)]])),1,0)</f>
        <v>0</v>
      </c>
      <c r="G93" s="3">
        <f>IF(ISNUMBER(SEARCH("DZ",BrachyTxs[[#This Row],[Physicist(s)]])),1,0)</f>
        <v>0</v>
      </c>
      <c r="H93" s="3">
        <f>IF(ISNUMBER(SEARCH("ZC",BrachyTxs[[#This Row],[Physicist(s)]])),1,0)</f>
        <v>0</v>
      </c>
      <c r="I93" s="3">
        <f>IF(ISNUMBER(SEARCH("DJ",BrachyTxs[[#This Row],[MD(s)]])),1,0)</f>
        <v>0</v>
      </c>
      <c r="J93" s="3">
        <f>IF(ISNUMBER(SEARCH("JS",BrachyTxs[[#This Row],[MD(s)]])),1,0)</f>
        <v>0</v>
      </c>
      <c r="K93" s="3"/>
      <c r="L93" s="3"/>
      <c r="M93" s="3"/>
      <c r="N93" s="3"/>
      <c r="O93" t="b">
        <f>ValidatePatient(BrachyTxs[[#This Row],[Pt]])</f>
        <v>1</v>
      </c>
      <c r="P93" t="b">
        <f>ValidatePhysicists(BrachyTxs[[#This Row],[Physicist(s)]])</f>
        <v>1</v>
      </c>
      <c r="Q93" t="b">
        <f>ValidateMDs(BrachyTxs[[#This Row],[MD(s)]])</f>
        <v>1</v>
      </c>
      <c r="S93" s="3"/>
    </row>
    <row r="94" spans="1:19" x14ac:dyDescent="0.25">
      <c r="A94" t="s">
        <v>323</v>
      </c>
      <c r="B94" s="1">
        <v>39589</v>
      </c>
      <c r="C94" s="2" t="s">
        <v>24</v>
      </c>
      <c r="D94" s="3"/>
      <c r="E94" s="3"/>
      <c r="F94">
        <f>IF(ISNUMBER(SEARCH("BB",BrachyTxs[[#This Row],[Physicist(s)]])),1,0)</f>
        <v>0</v>
      </c>
      <c r="G94" s="3">
        <f>IF(ISNUMBER(SEARCH("DZ",BrachyTxs[[#This Row],[Physicist(s)]])),1,0)</f>
        <v>0</v>
      </c>
      <c r="H94" s="3">
        <f>IF(ISNUMBER(SEARCH("ZC",BrachyTxs[[#This Row],[Physicist(s)]])),1,0)</f>
        <v>0</v>
      </c>
      <c r="I94" s="3">
        <f>IF(ISNUMBER(SEARCH("DJ",BrachyTxs[[#This Row],[MD(s)]])),1,0)</f>
        <v>0</v>
      </c>
      <c r="J94" s="3">
        <f>IF(ISNUMBER(SEARCH("JS",BrachyTxs[[#This Row],[MD(s)]])),1,0)</f>
        <v>0</v>
      </c>
      <c r="K94" s="3"/>
      <c r="L94" s="3"/>
      <c r="M94" s="3"/>
      <c r="N94" s="3"/>
      <c r="O94" t="b">
        <f>ValidatePatient(BrachyTxs[[#This Row],[Pt]])</f>
        <v>1</v>
      </c>
      <c r="P94" t="b">
        <f>ValidatePhysicists(BrachyTxs[[#This Row],[Physicist(s)]])</f>
        <v>1</v>
      </c>
      <c r="Q94" t="b">
        <f>ValidateMDs(BrachyTxs[[#This Row],[MD(s)]])</f>
        <v>1</v>
      </c>
      <c r="S94" s="3"/>
    </row>
    <row r="95" spans="1:19" x14ac:dyDescent="0.25">
      <c r="A95" t="s">
        <v>325</v>
      </c>
      <c r="B95" s="1">
        <v>39622</v>
      </c>
      <c r="C95" s="2" t="s">
        <v>114</v>
      </c>
      <c r="D95" s="3"/>
      <c r="E95" s="3"/>
      <c r="F95">
        <f>IF(ISNUMBER(SEARCH("BB",BrachyTxs[[#This Row],[Physicist(s)]])),1,0)</f>
        <v>0</v>
      </c>
      <c r="G95" s="3">
        <f>IF(ISNUMBER(SEARCH("DZ",BrachyTxs[[#This Row],[Physicist(s)]])),1,0)</f>
        <v>0</v>
      </c>
      <c r="H95" s="3">
        <f>IF(ISNUMBER(SEARCH("ZC",BrachyTxs[[#This Row],[Physicist(s)]])),1,0)</f>
        <v>0</v>
      </c>
      <c r="I95" s="3">
        <f>IF(ISNUMBER(SEARCH("DJ",BrachyTxs[[#This Row],[MD(s)]])),1,0)</f>
        <v>0</v>
      </c>
      <c r="J95" s="3">
        <f>IF(ISNUMBER(SEARCH("JS",BrachyTxs[[#This Row],[MD(s)]])),1,0)</f>
        <v>0</v>
      </c>
      <c r="K95" s="3"/>
      <c r="L95" s="3"/>
      <c r="M95" s="3"/>
      <c r="N95" s="3"/>
      <c r="O95" t="b">
        <f>ValidatePatient(BrachyTxs[[#This Row],[Pt]])</f>
        <v>1</v>
      </c>
      <c r="P95" t="b">
        <f>ValidatePhysicists(BrachyTxs[[#This Row],[Physicist(s)]])</f>
        <v>1</v>
      </c>
      <c r="Q95" t="b">
        <f>ValidateMDs(BrachyTxs[[#This Row],[MD(s)]])</f>
        <v>1</v>
      </c>
      <c r="S95" s="3"/>
    </row>
    <row r="96" spans="1:19" x14ac:dyDescent="0.25">
      <c r="A96" t="s">
        <v>325</v>
      </c>
      <c r="B96" s="1">
        <v>39646</v>
      </c>
      <c r="C96" s="2" t="s">
        <v>182</v>
      </c>
      <c r="D96" s="3"/>
      <c r="E96" s="3"/>
      <c r="F96">
        <f>IF(ISNUMBER(SEARCH("BB",BrachyTxs[[#This Row],[Physicist(s)]])),1,0)</f>
        <v>0</v>
      </c>
      <c r="G96" s="3">
        <f>IF(ISNUMBER(SEARCH("DZ",BrachyTxs[[#This Row],[Physicist(s)]])),1,0)</f>
        <v>0</v>
      </c>
      <c r="H96" s="3">
        <f>IF(ISNUMBER(SEARCH("ZC",BrachyTxs[[#This Row],[Physicist(s)]])),1,0)</f>
        <v>0</v>
      </c>
      <c r="I96" s="3">
        <f>IF(ISNUMBER(SEARCH("DJ",BrachyTxs[[#This Row],[MD(s)]])),1,0)</f>
        <v>0</v>
      </c>
      <c r="J96" s="3">
        <f>IF(ISNUMBER(SEARCH("JS",BrachyTxs[[#This Row],[MD(s)]])),1,0)</f>
        <v>0</v>
      </c>
      <c r="K96" s="3"/>
      <c r="L96" s="3"/>
      <c r="M96" s="3"/>
      <c r="N96" s="3"/>
      <c r="O96" t="b">
        <f>ValidatePatient(BrachyTxs[[#This Row],[Pt]])</f>
        <v>1</v>
      </c>
      <c r="P96" t="b">
        <f>ValidatePhysicists(BrachyTxs[[#This Row],[Physicist(s)]])</f>
        <v>1</v>
      </c>
      <c r="Q96" t="b">
        <f>ValidateMDs(BrachyTxs[[#This Row],[MD(s)]])</f>
        <v>1</v>
      </c>
      <c r="S96" s="3"/>
    </row>
    <row r="97" spans="1:19" x14ac:dyDescent="0.25">
      <c r="A97" t="s">
        <v>324</v>
      </c>
      <c r="B97" s="1">
        <v>39651</v>
      </c>
      <c r="C97" s="2" t="s">
        <v>62</v>
      </c>
      <c r="D97" s="3"/>
      <c r="E97" s="3"/>
      <c r="F97">
        <f>IF(ISNUMBER(SEARCH("BB",BrachyTxs[[#This Row],[Physicist(s)]])),1,0)</f>
        <v>0</v>
      </c>
      <c r="G97" s="3">
        <f>IF(ISNUMBER(SEARCH("DZ",BrachyTxs[[#This Row],[Physicist(s)]])),1,0)</f>
        <v>0</v>
      </c>
      <c r="H97" s="3">
        <f>IF(ISNUMBER(SEARCH("ZC",BrachyTxs[[#This Row],[Physicist(s)]])),1,0)</f>
        <v>0</v>
      </c>
      <c r="I97" s="3">
        <f>IF(ISNUMBER(SEARCH("DJ",BrachyTxs[[#This Row],[MD(s)]])),1,0)</f>
        <v>0</v>
      </c>
      <c r="J97" s="3">
        <f>IF(ISNUMBER(SEARCH("JS",BrachyTxs[[#This Row],[MD(s)]])),1,0)</f>
        <v>0</v>
      </c>
      <c r="K97" s="3"/>
      <c r="L97" s="3"/>
      <c r="M97" s="3"/>
      <c r="N97" s="3"/>
      <c r="O97" t="b">
        <f>ValidatePatient(BrachyTxs[[#This Row],[Pt]])</f>
        <v>1</v>
      </c>
      <c r="P97" t="b">
        <f>ValidatePhysicists(BrachyTxs[[#This Row],[Physicist(s)]])</f>
        <v>1</v>
      </c>
      <c r="Q97" t="b">
        <f>ValidateMDs(BrachyTxs[[#This Row],[MD(s)]])</f>
        <v>1</v>
      </c>
      <c r="S97" s="3"/>
    </row>
    <row r="98" spans="1:19" x14ac:dyDescent="0.25">
      <c r="A98" t="s">
        <v>325</v>
      </c>
      <c r="B98" s="1">
        <v>39657</v>
      </c>
      <c r="C98" s="2" t="s">
        <v>99</v>
      </c>
      <c r="D98" s="3"/>
      <c r="E98" s="3"/>
      <c r="F98">
        <f>IF(ISNUMBER(SEARCH("BB",BrachyTxs[[#This Row],[Physicist(s)]])),1,0)</f>
        <v>0</v>
      </c>
      <c r="G98" s="3">
        <f>IF(ISNUMBER(SEARCH("DZ",BrachyTxs[[#This Row],[Physicist(s)]])),1,0)</f>
        <v>0</v>
      </c>
      <c r="H98" s="3">
        <f>IF(ISNUMBER(SEARCH("ZC",BrachyTxs[[#This Row],[Physicist(s)]])),1,0)</f>
        <v>0</v>
      </c>
      <c r="I98" s="3">
        <f>IF(ISNUMBER(SEARCH("DJ",BrachyTxs[[#This Row],[MD(s)]])),1,0)</f>
        <v>0</v>
      </c>
      <c r="J98" s="3">
        <f>IF(ISNUMBER(SEARCH("JS",BrachyTxs[[#This Row],[MD(s)]])),1,0)</f>
        <v>0</v>
      </c>
      <c r="K98" s="3"/>
      <c r="L98" s="3"/>
      <c r="M98" s="3"/>
      <c r="N98" s="3"/>
      <c r="O98" t="b">
        <f>ValidatePatient(BrachyTxs[[#This Row],[Pt]])</f>
        <v>1</v>
      </c>
      <c r="P98" t="b">
        <f>ValidatePhysicists(BrachyTxs[[#This Row],[Physicist(s)]])</f>
        <v>1</v>
      </c>
      <c r="Q98" t="b">
        <f>ValidateMDs(BrachyTxs[[#This Row],[MD(s)]])</f>
        <v>1</v>
      </c>
      <c r="S98" s="3"/>
    </row>
    <row r="99" spans="1:19" x14ac:dyDescent="0.25">
      <c r="A99" t="s">
        <v>324</v>
      </c>
      <c r="B99" s="1">
        <v>39659</v>
      </c>
      <c r="C99" s="2" t="s">
        <v>145</v>
      </c>
      <c r="D99" s="3"/>
      <c r="E99" s="3"/>
      <c r="F99">
        <f>IF(ISNUMBER(SEARCH("BB",BrachyTxs[[#This Row],[Physicist(s)]])),1,0)</f>
        <v>0</v>
      </c>
      <c r="G99" s="3">
        <f>IF(ISNUMBER(SEARCH("DZ",BrachyTxs[[#This Row],[Physicist(s)]])),1,0)</f>
        <v>0</v>
      </c>
      <c r="H99" s="3">
        <f>IF(ISNUMBER(SEARCH("ZC",BrachyTxs[[#This Row],[Physicist(s)]])),1,0)</f>
        <v>0</v>
      </c>
      <c r="I99" s="3">
        <f>IF(ISNUMBER(SEARCH("DJ",BrachyTxs[[#This Row],[MD(s)]])),1,0)</f>
        <v>0</v>
      </c>
      <c r="J99" s="3">
        <f>IF(ISNUMBER(SEARCH("JS",BrachyTxs[[#This Row],[MD(s)]])),1,0)</f>
        <v>0</v>
      </c>
      <c r="K99" s="3"/>
      <c r="L99" s="3"/>
      <c r="M99" s="3"/>
      <c r="N99" s="3"/>
      <c r="O99" t="b">
        <f>ValidatePatient(BrachyTxs[[#This Row],[Pt]])</f>
        <v>1</v>
      </c>
      <c r="P99" t="b">
        <f>ValidatePhysicists(BrachyTxs[[#This Row],[Physicist(s)]])</f>
        <v>1</v>
      </c>
      <c r="Q99" t="b">
        <f>ValidateMDs(BrachyTxs[[#This Row],[MD(s)]])</f>
        <v>1</v>
      </c>
      <c r="S99" s="3"/>
    </row>
    <row r="100" spans="1:19" x14ac:dyDescent="0.25">
      <c r="A100" t="s">
        <v>324</v>
      </c>
      <c r="B100" s="1">
        <v>39665</v>
      </c>
      <c r="C100" s="2" t="s">
        <v>62</v>
      </c>
      <c r="D100" s="3"/>
      <c r="E100" s="3"/>
      <c r="F100">
        <f>IF(ISNUMBER(SEARCH("BB",BrachyTxs[[#This Row],[Physicist(s)]])),1,0)</f>
        <v>0</v>
      </c>
      <c r="G100" s="3">
        <f>IF(ISNUMBER(SEARCH("DZ",BrachyTxs[[#This Row],[Physicist(s)]])),1,0)</f>
        <v>0</v>
      </c>
      <c r="H100" s="3">
        <f>IF(ISNUMBER(SEARCH("ZC",BrachyTxs[[#This Row],[Physicist(s)]])),1,0)</f>
        <v>0</v>
      </c>
      <c r="I100" s="3">
        <f>IF(ISNUMBER(SEARCH("DJ",BrachyTxs[[#This Row],[MD(s)]])),1,0)</f>
        <v>0</v>
      </c>
      <c r="J100" s="3">
        <f>IF(ISNUMBER(SEARCH("JS",BrachyTxs[[#This Row],[MD(s)]])),1,0)</f>
        <v>0</v>
      </c>
      <c r="K100" s="3"/>
      <c r="L100" s="3"/>
      <c r="M100" s="3"/>
      <c r="N100" s="3"/>
      <c r="O100" t="b">
        <f>ValidatePatient(BrachyTxs[[#This Row],[Pt]])</f>
        <v>1</v>
      </c>
      <c r="P100" t="b">
        <f>ValidatePhysicists(BrachyTxs[[#This Row],[Physicist(s)]])</f>
        <v>1</v>
      </c>
      <c r="Q100" t="b">
        <f>ValidateMDs(BrachyTxs[[#This Row],[MD(s)]])</f>
        <v>1</v>
      </c>
      <c r="S100" s="3"/>
    </row>
    <row r="101" spans="1:19" x14ac:dyDescent="0.25">
      <c r="A101" t="s">
        <v>325</v>
      </c>
      <c r="B101" s="1">
        <v>39671</v>
      </c>
      <c r="C101" s="2" t="s">
        <v>75</v>
      </c>
      <c r="D101" s="3"/>
      <c r="E101" s="3"/>
      <c r="F101">
        <f>IF(ISNUMBER(SEARCH("BB",BrachyTxs[[#This Row],[Physicist(s)]])),1,0)</f>
        <v>0</v>
      </c>
      <c r="G101" s="3">
        <f>IF(ISNUMBER(SEARCH("DZ",BrachyTxs[[#This Row],[Physicist(s)]])),1,0)</f>
        <v>0</v>
      </c>
      <c r="H101" s="3">
        <f>IF(ISNUMBER(SEARCH("ZC",BrachyTxs[[#This Row],[Physicist(s)]])),1,0)</f>
        <v>0</v>
      </c>
      <c r="I101" s="3">
        <f>IF(ISNUMBER(SEARCH("DJ",BrachyTxs[[#This Row],[MD(s)]])),1,0)</f>
        <v>0</v>
      </c>
      <c r="J101" s="3">
        <f>IF(ISNUMBER(SEARCH("JS",BrachyTxs[[#This Row],[MD(s)]])),1,0)</f>
        <v>0</v>
      </c>
      <c r="K101" s="3"/>
      <c r="L101" s="3"/>
      <c r="M101" s="3"/>
      <c r="N101" s="3"/>
      <c r="O101" t="b">
        <f>ValidatePatient(BrachyTxs[[#This Row],[Pt]])</f>
        <v>1</v>
      </c>
      <c r="P101" t="b">
        <f>ValidatePhysicists(BrachyTxs[[#This Row],[Physicist(s)]])</f>
        <v>1</v>
      </c>
      <c r="Q101" t="b">
        <f>ValidateMDs(BrachyTxs[[#This Row],[MD(s)]])</f>
        <v>1</v>
      </c>
      <c r="S101" s="3"/>
    </row>
    <row r="102" spans="1:19" x14ac:dyDescent="0.25">
      <c r="A102" t="s">
        <v>323</v>
      </c>
      <c r="B102" s="1">
        <v>39673</v>
      </c>
      <c r="C102" s="2" t="s">
        <v>299</v>
      </c>
      <c r="D102" s="3"/>
      <c r="E102" s="3"/>
      <c r="F102">
        <f>IF(ISNUMBER(SEARCH("BB",BrachyTxs[[#This Row],[Physicist(s)]])),1,0)</f>
        <v>0</v>
      </c>
      <c r="G102" s="3">
        <f>IF(ISNUMBER(SEARCH("DZ",BrachyTxs[[#This Row],[Physicist(s)]])),1,0)</f>
        <v>0</v>
      </c>
      <c r="H102" s="3">
        <f>IF(ISNUMBER(SEARCH("ZC",BrachyTxs[[#This Row],[Physicist(s)]])),1,0)</f>
        <v>0</v>
      </c>
      <c r="I102" s="3">
        <f>IF(ISNUMBER(SEARCH("DJ",BrachyTxs[[#This Row],[MD(s)]])),1,0)</f>
        <v>0</v>
      </c>
      <c r="J102" s="3">
        <f>IF(ISNUMBER(SEARCH("JS",BrachyTxs[[#This Row],[MD(s)]])),1,0)</f>
        <v>0</v>
      </c>
      <c r="K102" s="3"/>
      <c r="L102" s="3"/>
      <c r="M102" s="3"/>
      <c r="N102" s="3"/>
      <c r="O102" t="b">
        <f>ValidatePatient(BrachyTxs[[#This Row],[Pt]])</f>
        <v>1</v>
      </c>
      <c r="P102" t="b">
        <f>ValidatePhysicists(BrachyTxs[[#This Row],[Physicist(s)]])</f>
        <v>1</v>
      </c>
      <c r="Q102" t="b">
        <f>ValidateMDs(BrachyTxs[[#This Row],[MD(s)]])</f>
        <v>1</v>
      </c>
      <c r="S102" s="3"/>
    </row>
    <row r="103" spans="1:19" x14ac:dyDescent="0.25">
      <c r="A103" t="s">
        <v>324</v>
      </c>
      <c r="B103" s="1">
        <v>39678</v>
      </c>
      <c r="C103" s="2" t="s">
        <v>217</v>
      </c>
      <c r="D103" s="3"/>
      <c r="E103" s="3"/>
      <c r="F103">
        <f>IF(ISNUMBER(SEARCH("BB",BrachyTxs[[#This Row],[Physicist(s)]])),1,0)</f>
        <v>0</v>
      </c>
      <c r="G103" s="3">
        <f>IF(ISNUMBER(SEARCH("DZ",BrachyTxs[[#This Row],[Physicist(s)]])),1,0)</f>
        <v>0</v>
      </c>
      <c r="H103" s="3">
        <f>IF(ISNUMBER(SEARCH("ZC",BrachyTxs[[#This Row],[Physicist(s)]])),1,0)</f>
        <v>0</v>
      </c>
      <c r="I103" s="3">
        <f>IF(ISNUMBER(SEARCH("DJ",BrachyTxs[[#This Row],[MD(s)]])),1,0)</f>
        <v>0</v>
      </c>
      <c r="J103" s="3">
        <f>IF(ISNUMBER(SEARCH("JS",BrachyTxs[[#This Row],[MD(s)]])),1,0)</f>
        <v>0</v>
      </c>
      <c r="K103" s="3"/>
      <c r="L103" s="3"/>
      <c r="M103" s="3"/>
      <c r="N103" s="3"/>
      <c r="O103" t="b">
        <f>ValidatePatient(BrachyTxs[[#This Row],[Pt]])</f>
        <v>1</v>
      </c>
      <c r="P103" t="b">
        <f>ValidatePhysicists(BrachyTxs[[#This Row],[Physicist(s)]])</f>
        <v>1</v>
      </c>
      <c r="Q103" t="b">
        <f>ValidateMDs(BrachyTxs[[#This Row],[MD(s)]])</f>
        <v>1</v>
      </c>
      <c r="S103" s="3"/>
    </row>
    <row r="104" spans="1:19" x14ac:dyDescent="0.25">
      <c r="A104" t="s">
        <v>325</v>
      </c>
      <c r="B104" s="1">
        <v>39678</v>
      </c>
      <c r="C104" s="2" t="s">
        <v>176</v>
      </c>
      <c r="D104" s="3"/>
      <c r="E104" s="3"/>
      <c r="F104">
        <f>IF(ISNUMBER(SEARCH("BB",BrachyTxs[[#This Row],[Physicist(s)]])),1,0)</f>
        <v>0</v>
      </c>
      <c r="G104" s="3">
        <f>IF(ISNUMBER(SEARCH("DZ",BrachyTxs[[#This Row],[Physicist(s)]])),1,0)</f>
        <v>0</v>
      </c>
      <c r="H104" s="3">
        <f>IF(ISNUMBER(SEARCH("ZC",BrachyTxs[[#This Row],[Physicist(s)]])),1,0)</f>
        <v>0</v>
      </c>
      <c r="I104" s="3">
        <f>IF(ISNUMBER(SEARCH("DJ",BrachyTxs[[#This Row],[MD(s)]])),1,0)</f>
        <v>0</v>
      </c>
      <c r="J104" s="3">
        <f>IF(ISNUMBER(SEARCH("JS",BrachyTxs[[#This Row],[MD(s)]])),1,0)</f>
        <v>0</v>
      </c>
      <c r="K104" s="3"/>
      <c r="L104" s="3"/>
      <c r="M104" s="3"/>
      <c r="N104" s="3"/>
      <c r="O104" t="b">
        <f>ValidatePatient(BrachyTxs[[#This Row],[Pt]])</f>
        <v>1</v>
      </c>
      <c r="P104" t="b">
        <f>ValidatePhysicists(BrachyTxs[[#This Row],[Physicist(s)]])</f>
        <v>1</v>
      </c>
      <c r="Q104" t="b">
        <f>ValidateMDs(BrachyTxs[[#This Row],[MD(s)]])</f>
        <v>1</v>
      </c>
      <c r="S104" s="3"/>
    </row>
    <row r="105" spans="1:19" x14ac:dyDescent="0.25">
      <c r="A105" t="s">
        <v>324</v>
      </c>
      <c r="B105" s="1">
        <v>39681</v>
      </c>
      <c r="C105" s="2" t="s">
        <v>47</v>
      </c>
      <c r="D105" s="3"/>
      <c r="E105" s="3"/>
      <c r="F105">
        <f>IF(ISNUMBER(SEARCH("BB",BrachyTxs[[#This Row],[Physicist(s)]])),1,0)</f>
        <v>0</v>
      </c>
      <c r="G105" s="3">
        <f>IF(ISNUMBER(SEARCH("DZ",BrachyTxs[[#This Row],[Physicist(s)]])),1,0)</f>
        <v>0</v>
      </c>
      <c r="H105" s="3">
        <f>IF(ISNUMBER(SEARCH("ZC",BrachyTxs[[#This Row],[Physicist(s)]])),1,0)</f>
        <v>0</v>
      </c>
      <c r="I105" s="3">
        <f>IF(ISNUMBER(SEARCH("DJ",BrachyTxs[[#This Row],[MD(s)]])),1,0)</f>
        <v>0</v>
      </c>
      <c r="J105" s="3">
        <f>IF(ISNUMBER(SEARCH("JS",BrachyTxs[[#This Row],[MD(s)]])),1,0)</f>
        <v>0</v>
      </c>
      <c r="K105" s="3"/>
      <c r="L105" s="3"/>
      <c r="M105" s="3"/>
      <c r="N105" s="3"/>
      <c r="O105" t="b">
        <f>ValidatePatient(BrachyTxs[[#This Row],[Pt]])</f>
        <v>1</v>
      </c>
      <c r="P105" t="b">
        <f>ValidatePhysicists(BrachyTxs[[#This Row],[Physicist(s)]])</f>
        <v>1</v>
      </c>
      <c r="Q105" t="b">
        <f>ValidateMDs(BrachyTxs[[#This Row],[MD(s)]])</f>
        <v>1</v>
      </c>
      <c r="S105" s="3"/>
    </row>
    <row r="106" spans="1:19" x14ac:dyDescent="0.25">
      <c r="A106" t="s">
        <v>324</v>
      </c>
      <c r="B106" s="1">
        <v>39688</v>
      </c>
      <c r="C106" s="2" t="s">
        <v>145</v>
      </c>
      <c r="D106" s="3"/>
      <c r="E106" s="3"/>
      <c r="F106">
        <f>IF(ISNUMBER(SEARCH("BB",BrachyTxs[[#This Row],[Physicist(s)]])),1,0)</f>
        <v>0</v>
      </c>
      <c r="G106" s="3">
        <f>IF(ISNUMBER(SEARCH("DZ",BrachyTxs[[#This Row],[Physicist(s)]])),1,0)</f>
        <v>0</v>
      </c>
      <c r="H106" s="3">
        <f>IF(ISNUMBER(SEARCH("ZC",BrachyTxs[[#This Row],[Physicist(s)]])),1,0)</f>
        <v>0</v>
      </c>
      <c r="I106" s="3">
        <f>IF(ISNUMBER(SEARCH("DJ",BrachyTxs[[#This Row],[MD(s)]])),1,0)</f>
        <v>0</v>
      </c>
      <c r="J106" s="3">
        <f>IF(ISNUMBER(SEARCH("JS",BrachyTxs[[#This Row],[MD(s)]])),1,0)</f>
        <v>0</v>
      </c>
      <c r="K106" s="3"/>
      <c r="L106" s="3"/>
      <c r="M106" s="3"/>
      <c r="N106" s="3"/>
      <c r="O106" t="b">
        <f>ValidatePatient(BrachyTxs[[#This Row],[Pt]])</f>
        <v>1</v>
      </c>
      <c r="P106" t="b">
        <f>ValidatePhysicists(BrachyTxs[[#This Row],[Physicist(s)]])</f>
        <v>1</v>
      </c>
      <c r="Q106" t="b">
        <f>ValidateMDs(BrachyTxs[[#This Row],[MD(s)]])</f>
        <v>1</v>
      </c>
      <c r="S106" s="3"/>
    </row>
    <row r="107" spans="1:19" x14ac:dyDescent="0.25">
      <c r="A107" t="s">
        <v>324</v>
      </c>
      <c r="B107" s="1">
        <v>39696</v>
      </c>
      <c r="C107" s="2" t="s">
        <v>217</v>
      </c>
      <c r="D107" s="3"/>
      <c r="E107" s="3"/>
      <c r="F107">
        <f>IF(ISNUMBER(SEARCH("BB",BrachyTxs[[#This Row],[Physicist(s)]])),1,0)</f>
        <v>0</v>
      </c>
      <c r="G107" s="3">
        <f>IF(ISNUMBER(SEARCH("DZ",BrachyTxs[[#This Row],[Physicist(s)]])),1,0)</f>
        <v>0</v>
      </c>
      <c r="H107" s="3">
        <f>IF(ISNUMBER(SEARCH("ZC",BrachyTxs[[#This Row],[Physicist(s)]])),1,0)</f>
        <v>0</v>
      </c>
      <c r="I107" s="3">
        <f>IF(ISNUMBER(SEARCH("DJ",BrachyTxs[[#This Row],[MD(s)]])),1,0)</f>
        <v>0</v>
      </c>
      <c r="J107" s="3">
        <f>IF(ISNUMBER(SEARCH("JS",BrachyTxs[[#This Row],[MD(s)]])),1,0)</f>
        <v>0</v>
      </c>
      <c r="K107" s="3"/>
      <c r="L107" s="3"/>
      <c r="M107" s="3"/>
      <c r="N107" s="3"/>
      <c r="O107" t="b">
        <f>ValidatePatient(BrachyTxs[[#This Row],[Pt]])</f>
        <v>1</v>
      </c>
      <c r="P107" t="b">
        <f>ValidatePhysicists(BrachyTxs[[#This Row],[Physicist(s)]])</f>
        <v>1</v>
      </c>
      <c r="Q107" t="b">
        <f>ValidateMDs(BrachyTxs[[#This Row],[MD(s)]])</f>
        <v>1</v>
      </c>
      <c r="S107" s="3"/>
    </row>
    <row r="108" spans="1:19" x14ac:dyDescent="0.25">
      <c r="A108" t="s">
        <v>324</v>
      </c>
      <c r="B108" s="1">
        <v>39700</v>
      </c>
      <c r="C108" s="2" t="s">
        <v>125</v>
      </c>
      <c r="D108" s="3"/>
      <c r="E108" s="3"/>
      <c r="F108">
        <f>IF(ISNUMBER(SEARCH("BB",BrachyTxs[[#This Row],[Physicist(s)]])),1,0)</f>
        <v>0</v>
      </c>
      <c r="G108" s="3">
        <f>IF(ISNUMBER(SEARCH("DZ",BrachyTxs[[#This Row],[Physicist(s)]])),1,0)</f>
        <v>0</v>
      </c>
      <c r="H108" s="3">
        <f>IF(ISNUMBER(SEARCH("ZC",BrachyTxs[[#This Row],[Physicist(s)]])),1,0)</f>
        <v>0</v>
      </c>
      <c r="I108" s="3">
        <f>IF(ISNUMBER(SEARCH("DJ",BrachyTxs[[#This Row],[MD(s)]])),1,0)</f>
        <v>0</v>
      </c>
      <c r="J108" s="3">
        <f>IF(ISNUMBER(SEARCH("JS",BrachyTxs[[#This Row],[MD(s)]])),1,0)</f>
        <v>0</v>
      </c>
      <c r="K108" s="3"/>
      <c r="L108" s="3"/>
      <c r="M108" s="3"/>
      <c r="N108" s="3"/>
      <c r="O108" t="b">
        <f>ValidatePatient(BrachyTxs[[#This Row],[Pt]])</f>
        <v>1</v>
      </c>
      <c r="P108" t="b">
        <f>ValidatePhysicists(BrachyTxs[[#This Row],[Physicist(s)]])</f>
        <v>1</v>
      </c>
      <c r="Q108" t="b">
        <f>ValidateMDs(BrachyTxs[[#This Row],[MD(s)]])</f>
        <v>1</v>
      </c>
      <c r="S108" s="3"/>
    </row>
    <row r="109" spans="1:19" x14ac:dyDescent="0.25">
      <c r="A109" t="s">
        <v>324</v>
      </c>
      <c r="B109" s="1">
        <v>39714</v>
      </c>
      <c r="C109" s="2" t="s">
        <v>125</v>
      </c>
      <c r="D109" s="3"/>
      <c r="E109" s="3"/>
      <c r="F109">
        <f>IF(ISNUMBER(SEARCH("BB",BrachyTxs[[#This Row],[Physicist(s)]])),1,0)</f>
        <v>0</v>
      </c>
      <c r="G109" s="3">
        <f>IF(ISNUMBER(SEARCH("DZ",BrachyTxs[[#This Row],[Physicist(s)]])),1,0)</f>
        <v>0</v>
      </c>
      <c r="H109" s="3">
        <f>IF(ISNUMBER(SEARCH("ZC",BrachyTxs[[#This Row],[Physicist(s)]])),1,0)</f>
        <v>0</v>
      </c>
      <c r="I109" s="3">
        <f>IF(ISNUMBER(SEARCH("DJ",BrachyTxs[[#This Row],[MD(s)]])),1,0)</f>
        <v>0</v>
      </c>
      <c r="J109" s="3">
        <f>IF(ISNUMBER(SEARCH("JS",BrachyTxs[[#This Row],[MD(s)]])),1,0)</f>
        <v>0</v>
      </c>
      <c r="K109" s="3"/>
      <c r="L109" s="3"/>
      <c r="M109" s="3"/>
      <c r="N109" s="3"/>
      <c r="O109" t="b">
        <f>ValidatePatient(BrachyTxs[[#This Row],[Pt]])</f>
        <v>1</v>
      </c>
      <c r="P109" t="b">
        <f>ValidatePhysicists(BrachyTxs[[#This Row],[Physicist(s)]])</f>
        <v>1</v>
      </c>
      <c r="Q109" t="b">
        <f>ValidateMDs(BrachyTxs[[#This Row],[MD(s)]])</f>
        <v>1</v>
      </c>
      <c r="S109" s="3"/>
    </row>
    <row r="110" spans="1:19" x14ac:dyDescent="0.25">
      <c r="A110" t="s">
        <v>323</v>
      </c>
      <c r="B110" s="1">
        <v>39716</v>
      </c>
      <c r="C110" s="2" t="s">
        <v>191</v>
      </c>
      <c r="D110" s="3"/>
      <c r="E110" s="3"/>
      <c r="F110">
        <f>IF(ISNUMBER(SEARCH("BB",BrachyTxs[[#This Row],[Physicist(s)]])),1,0)</f>
        <v>0</v>
      </c>
      <c r="G110" s="3">
        <f>IF(ISNUMBER(SEARCH("DZ",BrachyTxs[[#This Row],[Physicist(s)]])),1,0)</f>
        <v>0</v>
      </c>
      <c r="H110" s="3">
        <f>IF(ISNUMBER(SEARCH("ZC",BrachyTxs[[#This Row],[Physicist(s)]])),1,0)</f>
        <v>0</v>
      </c>
      <c r="I110" s="3">
        <f>IF(ISNUMBER(SEARCH("DJ",BrachyTxs[[#This Row],[MD(s)]])),1,0)</f>
        <v>0</v>
      </c>
      <c r="J110" s="3">
        <f>IF(ISNUMBER(SEARCH("JS",BrachyTxs[[#This Row],[MD(s)]])),1,0)</f>
        <v>0</v>
      </c>
      <c r="K110" s="3"/>
      <c r="L110" s="3"/>
      <c r="M110" s="3"/>
      <c r="N110" s="3"/>
      <c r="O110" t="b">
        <f>ValidatePatient(BrachyTxs[[#This Row],[Pt]])</f>
        <v>1</v>
      </c>
      <c r="P110" t="b">
        <f>ValidatePhysicists(BrachyTxs[[#This Row],[Physicist(s)]])</f>
        <v>1</v>
      </c>
      <c r="Q110" t="b">
        <f>ValidateMDs(BrachyTxs[[#This Row],[MD(s)]])</f>
        <v>1</v>
      </c>
      <c r="S110" s="3"/>
    </row>
    <row r="111" spans="1:19" x14ac:dyDescent="0.25">
      <c r="A111" t="s">
        <v>324</v>
      </c>
      <c r="B111" s="1">
        <v>39727</v>
      </c>
      <c r="C111" s="2" t="s">
        <v>296</v>
      </c>
      <c r="D111" s="3"/>
      <c r="E111" s="3"/>
      <c r="F111">
        <f>IF(ISNUMBER(SEARCH("BB",BrachyTxs[[#This Row],[Physicist(s)]])),1,0)</f>
        <v>0</v>
      </c>
      <c r="G111" s="3">
        <f>IF(ISNUMBER(SEARCH("DZ",BrachyTxs[[#This Row],[Physicist(s)]])),1,0)</f>
        <v>0</v>
      </c>
      <c r="H111" s="3">
        <f>IF(ISNUMBER(SEARCH("ZC",BrachyTxs[[#This Row],[Physicist(s)]])),1,0)</f>
        <v>0</v>
      </c>
      <c r="I111" s="3">
        <f>IF(ISNUMBER(SEARCH("DJ",BrachyTxs[[#This Row],[MD(s)]])),1,0)</f>
        <v>0</v>
      </c>
      <c r="J111" s="3">
        <f>IF(ISNUMBER(SEARCH("JS",BrachyTxs[[#This Row],[MD(s)]])),1,0)</f>
        <v>0</v>
      </c>
      <c r="K111" s="3"/>
      <c r="L111" s="3"/>
      <c r="M111" s="3"/>
      <c r="N111" s="3"/>
      <c r="O111" t="b">
        <f>ValidatePatient(BrachyTxs[[#This Row],[Pt]])</f>
        <v>1</v>
      </c>
      <c r="P111" t="b">
        <f>ValidatePhysicists(BrachyTxs[[#This Row],[Physicist(s)]])</f>
        <v>1</v>
      </c>
      <c r="Q111" t="b">
        <f>ValidateMDs(BrachyTxs[[#This Row],[MD(s)]])</f>
        <v>1</v>
      </c>
      <c r="S111" s="3"/>
    </row>
    <row r="112" spans="1:19" x14ac:dyDescent="0.25">
      <c r="A112" t="s">
        <v>324</v>
      </c>
      <c r="B112" s="1">
        <v>39734</v>
      </c>
      <c r="C112" s="2" t="s">
        <v>303</v>
      </c>
      <c r="D112" s="3"/>
      <c r="E112" s="3"/>
      <c r="F112">
        <f>IF(ISNUMBER(SEARCH("BB",BrachyTxs[[#This Row],[Physicist(s)]])),1,0)</f>
        <v>0</v>
      </c>
      <c r="G112" s="3">
        <f>IF(ISNUMBER(SEARCH("DZ",BrachyTxs[[#This Row],[Physicist(s)]])),1,0)</f>
        <v>0</v>
      </c>
      <c r="H112" s="3">
        <f>IF(ISNUMBER(SEARCH("ZC",BrachyTxs[[#This Row],[Physicist(s)]])),1,0)</f>
        <v>0</v>
      </c>
      <c r="I112" s="3">
        <f>IF(ISNUMBER(SEARCH("DJ",BrachyTxs[[#This Row],[MD(s)]])),1,0)</f>
        <v>0</v>
      </c>
      <c r="J112" s="3">
        <f>IF(ISNUMBER(SEARCH("JS",BrachyTxs[[#This Row],[MD(s)]])),1,0)</f>
        <v>0</v>
      </c>
      <c r="K112" s="3"/>
      <c r="L112" s="3"/>
      <c r="M112" s="3"/>
      <c r="N112" s="3"/>
      <c r="O112" t="b">
        <f>ValidatePatient(BrachyTxs[[#This Row],[Pt]])</f>
        <v>1</v>
      </c>
      <c r="P112" t="b">
        <f>ValidatePhysicists(BrachyTxs[[#This Row],[Physicist(s)]])</f>
        <v>1</v>
      </c>
      <c r="Q112" t="b">
        <f>ValidateMDs(BrachyTxs[[#This Row],[MD(s)]])</f>
        <v>1</v>
      </c>
      <c r="S112" s="3"/>
    </row>
    <row r="113" spans="1:19" x14ac:dyDescent="0.25">
      <c r="A113" t="s">
        <v>323</v>
      </c>
      <c r="B113" s="1">
        <v>39738</v>
      </c>
      <c r="C113" s="2" t="s">
        <v>189</v>
      </c>
      <c r="D113" s="3"/>
      <c r="E113" s="3"/>
      <c r="F113">
        <f>IF(ISNUMBER(SEARCH("BB",BrachyTxs[[#This Row],[Physicist(s)]])),1,0)</f>
        <v>0</v>
      </c>
      <c r="G113" s="3">
        <f>IF(ISNUMBER(SEARCH("DZ",BrachyTxs[[#This Row],[Physicist(s)]])),1,0)</f>
        <v>0</v>
      </c>
      <c r="H113" s="3">
        <f>IF(ISNUMBER(SEARCH("ZC",BrachyTxs[[#This Row],[Physicist(s)]])),1,0)</f>
        <v>0</v>
      </c>
      <c r="I113" s="3">
        <f>IF(ISNUMBER(SEARCH("DJ",BrachyTxs[[#This Row],[MD(s)]])),1,0)</f>
        <v>0</v>
      </c>
      <c r="J113" s="3">
        <f>IF(ISNUMBER(SEARCH("JS",BrachyTxs[[#This Row],[MD(s)]])),1,0)</f>
        <v>0</v>
      </c>
      <c r="K113" s="3"/>
      <c r="L113" s="3"/>
      <c r="M113" s="3"/>
      <c r="N113" s="3"/>
      <c r="O113" t="b">
        <f>ValidatePatient(BrachyTxs[[#This Row],[Pt]])</f>
        <v>1</v>
      </c>
      <c r="P113" t="b">
        <f>ValidatePhysicists(BrachyTxs[[#This Row],[Physicist(s)]])</f>
        <v>1</v>
      </c>
      <c r="Q113" t="b">
        <f>ValidateMDs(BrachyTxs[[#This Row],[MD(s)]])</f>
        <v>1</v>
      </c>
      <c r="S113" s="3"/>
    </row>
    <row r="114" spans="1:19" x14ac:dyDescent="0.25">
      <c r="A114" t="s">
        <v>324</v>
      </c>
      <c r="B114" s="1">
        <v>39741</v>
      </c>
      <c r="C114" s="2" t="s">
        <v>296</v>
      </c>
      <c r="D114" s="3"/>
      <c r="E114" s="3"/>
      <c r="F114">
        <f>IF(ISNUMBER(SEARCH("BB",BrachyTxs[[#This Row],[Physicist(s)]])),1,0)</f>
        <v>0</v>
      </c>
      <c r="G114" s="3">
        <f>IF(ISNUMBER(SEARCH("DZ",BrachyTxs[[#This Row],[Physicist(s)]])),1,0)</f>
        <v>0</v>
      </c>
      <c r="H114" s="3">
        <f>IF(ISNUMBER(SEARCH("ZC",BrachyTxs[[#This Row],[Physicist(s)]])),1,0)</f>
        <v>0</v>
      </c>
      <c r="I114" s="3">
        <f>IF(ISNUMBER(SEARCH("DJ",BrachyTxs[[#This Row],[MD(s)]])),1,0)</f>
        <v>0</v>
      </c>
      <c r="J114" s="3">
        <f>IF(ISNUMBER(SEARCH("JS",BrachyTxs[[#This Row],[MD(s)]])),1,0)</f>
        <v>0</v>
      </c>
      <c r="K114" s="3"/>
      <c r="L114" s="3"/>
      <c r="M114" s="3"/>
      <c r="N114" s="3"/>
      <c r="O114" t="b">
        <f>ValidatePatient(BrachyTxs[[#This Row],[Pt]])</f>
        <v>1</v>
      </c>
      <c r="P114" t="b">
        <f>ValidatePhysicists(BrachyTxs[[#This Row],[Physicist(s)]])</f>
        <v>1</v>
      </c>
      <c r="Q114" t="b">
        <f>ValidateMDs(BrachyTxs[[#This Row],[MD(s)]])</f>
        <v>1</v>
      </c>
      <c r="S114" s="3"/>
    </row>
    <row r="115" spans="1:19" x14ac:dyDescent="0.25">
      <c r="A115" t="s">
        <v>324</v>
      </c>
      <c r="B115" s="1">
        <v>39748</v>
      </c>
      <c r="C115" s="2" t="s">
        <v>159</v>
      </c>
      <c r="D115" s="3"/>
      <c r="E115" s="3"/>
      <c r="F115">
        <f>IF(ISNUMBER(SEARCH("BB",BrachyTxs[[#This Row],[Physicist(s)]])),1,0)</f>
        <v>0</v>
      </c>
      <c r="G115" s="3">
        <f>IF(ISNUMBER(SEARCH("DZ",BrachyTxs[[#This Row],[Physicist(s)]])),1,0)</f>
        <v>0</v>
      </c>
      <c r="H115" s="3">
        <f>IF(ISNUMBER(SEARCH("ZC",BrachyTxs[[#This Row],[Physicist(s)]])),1,0)</f>
        <v>0</v>
      </c>
      <c r="I115" s="3">
        <f>IF(ISNUMBER(SEARCH("DJ",BrachyTxs[[#This Row],[MD(s)]])),1,0)</f>
        <v>0</v>
      </c>
      <c r="J115" s="3">
        <f>IF(ISNUMBER(SEARCH("JS",BrachyTxs[[#This Row],[MD(s)]])),1,0)</f>
        <v>0</v>
      </c>
      <c r="K115" s="3"/>
      <c r="L115" s="3"/>
      <c r="M115" s="3"/>
      <c r="N115" s="3"/>
      <c r="O115" t="b">
        <f>ValidatePatient(BrachyTxs[[#This Row],[Pt]])</f>
        <v>1</v>
      </c>
      <c r="P115" t="b">
        <f>ValidatePhysicists(BrachyTxs[[#This Row],[Physicist(s)]])</f>
        <v>1</v>
      </c>
      <c r="Q115" t="b">
        <f>ValidateMDs(BrachyTxs[[#This Row],[MD(s)]])</f>
        <v>1</v>
      </c>
      <c r="S115" s="3"/>
    </row>
    <row r="116" spans="1:19" x14ac:dyDescent="0.25">
      <c r="A116" t="s">
        <v>325</v>
      </c>
      <c r="B116" s="1">
        <v>39755</v>
      </c>
      <c r="C116" s="2" t="s">
        <v>83</v>
      </c>
      <c r="D116" s="3"/>
      <c r="E116" s="3"/>
      <c r="F116">
        <f>IF(ISNUMBER(SEARCH("BB",BrachyTxs[[#This Row],[Physicist(s)]])),1,0)</f>
        <v>0</v>
      </c>
      <c r="G116" s="3">
        <f>IF(ISNUMBER(SEARCH("DZ",BrachyTxs[[#This Row],[Physicist(s)]])),1,0)</f>
        <v>0</v>
      </c>
      <c r="H116" s="3">
        <f>IF(ISNUMBER(SEARCH("ZC",BrachyTxs[[#This Row],[Physicist(s)]])),1,0)</f>
        <v>0</v>
      </c>
      <c r="I116" s="3">
        <f>IF(ISNUMBER(SEARCH("DJ",BrachyTxs[[#This Row],[MD(s)]])),1,0)</f>
        <v>0</v>
      </c>
      <c r="J116" s="3">
        <f>IF(ISNUMBER(SEARCH("JS",BrachyTxs[[#This Row],[MD(s)]])),1,0)</f>
        <v>0</v>
      </c>
      <c r="K116" s="3"/>
      <c r="L116" s="3"/>
      <c r="M116" s="3"/>
      <c r="N116" s="3"/>
      <c r="O116" t="b">
        <f>ValidatePatient(BrachyTxs[[#This Row],[Pt]])</f>
        <v>1</v>
      </c>
      <c r="P116" t="b">
        <f>ValidatePhysicists(BrachyTxs[[#This Row],[Physicist(s)]])</f>
        <v>1</v>
      </c>
      <c r="Q116" t="b">
        <f>ValidateMDs(BrachyTxs[[#This Row],[MD(s)]])</f>
        <v>1</v>
      </c>
      <c r="S116" s="3"/>
    </row>
    <row r="117" spans="1:19" x14ac:dyDescent="0.25">
      <c r="A117" t="s">
        <v>324</v>
      </c>
      <c r="B117" s="1">
        <v>39762</v>
      </c>
      <c r="C117" s="2" t="s">
        <v>159</v>
      </c>
      <c r="D117" s="3"/>
      <c r="E117" s="3"/>
      <c r="F117">
        <f>IF(ISNUMBER(SEARCH("BB",BrachyTxs[[#This Row],[Physicist(s)]])),1,0)</f>
        <v>0</v>
      </c>
      <c r="G117" s="3">
        <f>IF(ISNUMBER(SEARCH("DZ",BrachyTxs[[#This Row],[Physicist(s)]])),1,0)</f>
        <v>0</v>
      </c>
      <c r="H117" s="3">
        <f>IF(ISNUMBER(SEARCH("ZC",BrachyTxs[[#This Row],[Physicist(s)]])),1,0)</f>
        <v>0</v>
      </c>
      <c r="I117" s="3">
        <f>IF(ISNUMBER(SEARCH("DJ",BrachyTxs[[#This Row],[MD(s)]])),1,0)</f>
        <v>0</v>
      </c>
      <c r="J117" s="3">
        <f>IF(ISNUMBER(SEARCH("JS",BrachyTxs[[#This Row],[MD(s)]])),1,0)</f>
        <v>0</v>
      </c>
      <c r="K117" s="3"/>
      <c r="L117" s="3"/>
      <c r="M117" s="3"/>
      <c r="N117" s="3"/>
      <c r="O117" t="b">
        <f>ValidatePatient(BrachyTxs[[#This Row],[Pt]])</f>
        <v>1</v>
      </c>
      <c r="P117" t="b">
        <f>ValidatePhysicists(BrachyTxs[[#This Row],[Physicist(s)]])</f>
        <v>1</v>
      </c>
      <c r="Q117" t="b">
        <f>ValidateMDs(BrachyTxs[[#This Row],[MD(s)]])</f>
        <v>1</v>
      </c>
      <c r="S117" s="3"/>
    </row>
    <row r="118" spans="1:19" x14ac:dyDescent="0.25">
      <c r="A118" t="s">
        <v>324</v>
      </c>
      <c r="B118" s="1">
        <v>39784</v>
      </c>
      <c r="C118" s="2" t="s">
        <v>139</v>
      </c>
      <c r="D118" s="3"/>
      <c r="E118" s="3"/>
      <c r="F118">
        <f>IF(ISNUMBER(SEARCH("BB",BrachyTxs[[#This Row],[Physicist(s)]])),1,0)</f>
        <v>0</v>
      </c>
      <c r="G118" s="3">
        <f>IF(ISNUMBER(SEARCH("DZ",BrachyTxs[[#This Row],[Physicist(s)]])),1,0)</f>
        <v>0</v>
      </c>
      <c r="H118" s="3">
        <f>IF(ISNUMBER(SEARCH("ZC",BrachyTxs[[#This Row],[Physicist(s)]])),1,0)</f>
        <v>0</v>
      </c>
      <c r="I118" s="3">
        <f>IF(ISNUMBER(SEARCH("DJ",BrachyTxs[[#This Row],[MD(s)]])),1,0)</f>
        <v>0</v>
      </c>
      <c r="J118" s="3">
        <f>IF(ISNUMBER(SEARCH("JS",BrachyTxs[[#This Row],[MD(s)]])),1,0)</f>
        <v>0</v>
      </c>
      <c r="K118" s="3"/>
      <c r="L118" s="3"/>
      <c r="M118" s="3"/>
      <c r="N118" s="3"/>
      <c r="O118" t="b">
        <f>ValidatePatient(BrachyTxs[[#This Row],[Pt]])</f>
        <v>1</v>
      </c>
      <c r="P118" t="b">
        <f>ValidatePhysicists(BrachyTxs[[#This Row],[Physicist(s)]])</f>
        <v>1</v>
      </c>
      <c r="Q118" t="b">
        <f>ValidateMDs(BrachyTxs[[#This Row],[MD(s)]])</f>
        <v>1</v>
      </c>
      <c r="S118" s="3"/>
    </row>
    <row r="119" spans="1:19" x14ac:dyDescent="0.25">
      <c r="A119" t="s">
        <v>323</v>
      </c>
      <c r="B119" s="1">
        <v>39792</v>
      </c>
      <c r="C119" s="2" t="s">
        <v>212</v>
      </c>
      <c r="D119" s="3"/>
      <c r="E119" s="3"/>
      <c r="F119">
        <f>IF(ISNUMBER(SEARCH("BB",BrachyTxs[[#This Row],[Physicist(s)]])),1,0)</f>
        <v>0</v>
      </c>
      <c r="G119" s="3">
        <f>IF(ISNUMBER(SEARCH("DZ",BrachyTxs[[#This Row],[Physicist(s)]])),1,0)</f>
        <v>0</v>
      </c>
      <c r="H119" s="3">
        <f>IF(ISNUMBER(SEARCH("ZC",BrachyTxs[[#This Row],[Physicist(s)]])),1,0)</f>
        <v>0</v>
      </c>
      <c r="I119" s="3">
        <f>IF(ISNUMBER(SEARCH("DJ",BrachyTxs[[#This Row],[MD(s)]])),1,0)</f>
        <v>0</v>
      </c>
      <c r="J119" s="3">
        <f>IF(ISNUMBER(SEARCH("JS",BrachyTxs[[#This Row],[MD(s)]])),1,0)</f>
        <v>0</v>
      </c>
      <c r="K119" s="3"/>
      <c r="L119" s="3"/>
      <c r="M119" s="3"/>
      <c r="N119" s="3"/>
      <c r="O119" t="b">
        <f>ValidatePatient(BrachyTxs[[#This Row],[Pt]])</f>
        <v>1</v>
      </c>
      <c r="P119" t="b">
        <f>ValidatePhysicists(BrachyTxs[[#This Row],[Physicist(s)]])</f>
        <v>1</v>
      </c>
      <c r="Q119" t="b">
        <f>ValidateMDs(BrachyTxs[[#This Row],[MD(s)]])</f>
        <v>1</v>
      </c>
      <c r="S119" s="3"/>
    </row>
    <row r="120" spans="1:19" x14ac:dyDescent="0.25">
      <c r="A120" t="s">
        <v>324</v>
      </c>
      <c r="B120" s="1">
        <v>39798</v>
      </c>
      <c r="C120" s="2" t="s">
        <v>139</v>
      </c>
      <c r="D120" s="3"/>
      <c r="E120" s="3"/>
      <c r="F120">
        <f>IF(ISNUMBER(SEARCH("BB",BrachyTxs[[#This Row],[Physicist(s)]])),1,0)</f>
        <v>0</v>
      </c>
      <c r="G120" s="3">
        <f>IF(ISNUMBER(SEARCH("DZ",BrachyTxs[[#This Row],[Physicist(s)]])),1,0)</f>
        <v>0</v>
      </c>
      <c r="H120" s="3">
        <f>IF(ISNUMBER(SEARCH("ZC",BrachyTxs[[#This Row],[Physicist(s)]])),1,0)</f>
        <v>0</v>
      </c>
      <c r="I120" s="3">
        <f>IF(ISNUMBER(SEARCH("DJ",BrachyTxs[[#This Row],[MD(s)]])),1,0)</f>
        <v>0</v>
      </c>
      <c r="J120" s="3">
        <f>IF(ISNUMBER(SEARCH("JS",BrachyTxs[[#This Row],[MD(s)]])),1,0)</f>
        <v>0</v>
      </c>
      <c r="K120" s="3"/>
      <c r="L120" s="3"/>
      <c r="M120" s="3"/>
      <c r="N120" s="3"/>
      <c r="O120" t="b">
        <f>ValidatePatient(BrachyTxs[[#This Row],[Pt]])</f>
        <v>1</v>
      </c>
      <c r="P120" t="b">
        <f>ValidatePhysicists(BrachyTxs[[#This Row],[Physicist(s)]])</f>
        <v>1</v>
      </c>
      <c r="Q120" t="b">
        <f>ValidateMDs(BrachyTxs[[#This Row],[MD(s)]])</f>
        <v>1</v>
      </c>
      <c r="S120" s="3"/>
    </row>
    <row r="121" spans="1:19" x14ac:dyDescent="0.25">
      <c r="A121" t="s">
        <v>325</v>
      </c>
      <c r="B121" s="1">
        <v>39835</v>
      </c>
      <c r="C121" s="2" t="s">
        <v>33</v>
      </c>
      <c r="D121" s="3"/>
      <c r="E121" s="3"/>
      <c r="F121">
        <f>IF(ISNUMBER(SEARCH("BB",BrachyTxs[[#This Row],[Physicist(s)]])),1,0)</f>
        <v>0</v>
      </c>
      <c r="G121" s="3">
        <f>IF(ISNUMBER(SEARCH("DZ",BrachyTxs[[#This Row],[Physicist(s)]])),1,0)</f>
        <v>0</v>
      </c>
      <c r="H121" s="3">
        <f>IF(ISNUMBER(SEARCH("ZC",BrachyTxs[[#This Row],[Physicist(s)]])),1,0)</f>
        <v>0</v>
      </c>
      <c r="I121" s="3">
        <f>IF(ISNUMBER(SEARCH("DJ",BrachyTxs[[#This Row],[MD(s)]])),1,0)</f>
        <v>0</v>
      </c>
      <c r="J121" s="3">
        <f>IF(ISNUMBER(SEARCH("JS",BrachyTxs[[#This Row],[MD(s)]])),1,0)</f>
        <v>0</v>
      </c>
      <c r="K121" s="3"/>
      <c r="L121" s="3"/>
      <c r="M121" s="3"/>
      <c r="N121" s="3"/>
      <c r="O121" t="b">
        <f>ValidatePatient(BrachyTxs[[#This Row],[Pt]])</f>
        <v>1</v>
      </c>
      <c r="P121" t="b">
        <f>ValidatePhysicists(BrachyTxs[[#This Row],[Physicist(s)]])</f>
        <v>1</v>
      </c>
      <c r="Q121" t="b">
        <f>ValidateMDs(BrachyTxs[[#This Row],[MD(s)]])</f>
        <v>1</v>
      </c>
      <c r="S121" s="3"/>
    </row>
    <row r="122" spans="1:19" x14ac:dyDescent="0.25">
      <c r="A122" t="s">
        <v>324</v>
      </c>
      <c r="B122" s="1">
        <v>39847</v>
      </c>
      <c r="C122" s="2" t="s">
        <v>289</v>
      </c>
      <c r="D122" s="3"/>
      <c r="E122" s="3"/>
      <c r="F122">
        <f>IF(ISNUMBER(SEARCH("BB",BrachyTxs[[#This Row],[Physicist(s)]])),1,0)</f>
        <v>0</v>
      </c>
      <c r="G122" s="3">
        <f>IF(ISNUMBER(SEARCH("DZ",BrachyTxs[[#This Row],[Physicist(s)]])),1,0)</f>
        <v>0</v>
      </c>
      <c r="H122" s="3">
        <f>IF(ISNUMBER(SEARCH("ZC",BrachyTxs[[#This Row],[Physicist(s)]])),1,0)</f>
        <v>0</v>
      </c>
      <c r="I122" s="3">
        <f>IF(ISNUMBER(SEARCH("DJ",BrachyTxs[[#This Row],[MD(s)]])),1,0)</f>
        <v>0</v>
      </c>
      <c r="J122" s="3">
        <f>IF(ISNUMBER(SEARCH("JS",BrachyTxs[[#This Row],[MD(s)]])),1,0)</f>
        <v>0</v>
      </c>
      <c r="K122" s="3"/>
      <c r="L122" s="3"/>
      <c r="M122" s="3"/>
      <c r="N122" s="3"/>
      <c r="O122" t="b">
        <f>ValidatePatient(BrachyTxs[[#This Row],[Pt]])</f>
        <v>1</v>
      </c>
      <c r="P122" t="b">
        <f>ValidatePhysicists(BrachyTxs[[#This Row],[Physicist(s)]])</f>
        <v>1</v>
      </c>
      <c r="Q122" t="b">
        <f>ValidateMDs(BrachyTxs[[#This Row],[MD(s)]])</f>
        <v>1</v>
      </c>
      <c r="S122" s="3"/>
    </row>
    <row r="123" spans="1:19" x14ac:dyDescent="0.25">
      <c r="A123" t="s">
        <v>324</v>
      </c>
      <c r="B123" s="1">
        <v>39853</v>
      </c>
      <c r="C123" s="2" t="s">
        <v>100</v>
      </c>
      <c r="D123" s="3"/>
      <c r="E123" s="3"/>
      <c r="F123">
        <f>IF(ISNUMBER(SEARCH("BB",BrachyTxs[[#This Row],[Physicist(s)]])),1,0)</f>
        <v>0</v>
      </c>
      <c r="G123" s="3">
        <f>IF(ISNUMBER(SEARCH("DZ",BrachyTxs[[#This Row],[Physicist(s)]])),1,0)</f>
        <v>0</v>
      </c>
      <c r="H123" s="3">
        <f>IF(ISNUMBER(SEARCH("ZC",BrachyTxs[[#This Row],[Physicist(s)]])),1,0)</f>
        <v>0</v>
      </c>
      <c r="I123" s="3">
        <f>IF(ISNUMBER(SEARCH("DJ",BrachyTxs[[#This Row],[MD(s)]])),1,0)</f>
        <v>0</v>
      </c>
      <c r="J123" s="3">
        <f>IF(ISNUMBER(SEARCH("JS",BrachyTxs[[#This Row],[MD(s)]])),1,0)</f>
        <v>0</v>
      </c>
      <c r="K123" s="3"/>
      <c r="L123" s="3"/>
      <c r="M123" s="3"/>
      <c r="N123" s="3"/>
      <c r="O123" t="b">
        <f>ValidatePatient(BrachyTxs[[#This Row],[Pt]])</f>
        <v>1</v>
      </c>
      <c r="P123" t="b">
        <f>ValidatePhysicists(BrachyTxs[[#This Row],[Physicist(s)]])</f>
        <v>1</v>
      </c>
      <c r="Q123" t="b">
        <f>ValidateMDs(BrachyTxs[[#This Row],[MD(s)]])</f>
        <v>1</v>
      </c>
      <c r="S123" s="3"/>
    </row>
    <row r="124" spans="1:19" x14ac:dyDescent="0.25">
      <c r="A124" t="s">
        <v>324</v>
      </c>
      <c r="B124" s="1">
        <v>39864</v>
      </c>
      <c r="C124" s="2" t="s">
        <v>289</v>
      </c>
      <c r="D124" s="3"/>
      <c r="E124" s="3"/>
      <c r="F124">
        <f>IF(ISNUMBER(SEARCH("BB",BrachyTxs[[#This Row],[Physicist(s)]])),1,0)</f>
        <v>0</v>
      </c>
      <c r="G124" s="3">
        <f>IF(ISNUMBER(SEARCH("DZ",BrachyTxs[[#This Row],[Physicist(s)]])),1,0)</f>
        <v>0</v>
      </c>
      <c r="H124" s="3">
        <f>IF(ISNUMBER(SEARCH("ZC",BrachyTxs[[#This Row],[Physicist(s)]])),1,0)</f>
        <v>0</v>
      </c>
      <c r="I124" s="3">
        <f>IF(ISNUMBER(SEARCH("DJ",BrachyTxs[[#This Row],[MD(s)]])),1,0)</f>
        <v>0</v>
      </c>
      <c r="J124" s="3">
        <f>IF(ISNUMBER(SEARCH("JS",BrachyTxs[[#This Row],[MD(s)]])),1,0)</f>
        <v>0</v>
      </c>
      <c r="K124" s="3"/>
      <c r="L124" s="3"/>
      <c r="M124" s="3"/>
      <c r="N124" s="3"/>
      <c r="O124" t="b">
        <f>ValidatePatient(BrachyTxs[[#This Row],[Pt]])</f>
        <v>1</v>
      </c>
      <c r="P124" t="b">
        <f>ValidatePhysicists(BrachyTxs[[#This Row],[Physicist(s)]])</f>
        <v>1</v>
      </c>
      <c r="Q124" t="b">
        <f>ValidateMDs(BrachyTxs[[#This Row],[MD(s)]])</f>
        <v>1</v>
      </c>
      <c r="S124" s="3"/>
    </row>
    <row r="125" spans="1:19" x14ac:dyDescent="0.25">
      <c r="A125" t="s">
        <v>325</v>
      </c>
      <c r="B125" s="1">
        <v>39866</v>
      </c>
      <c r="C125" s="2" t="s">
        <v>1</v>
      </c>
      <c r="D125" s="3"/>
      <c r="E125" s="3"/>
      <c r="F125">
        <f>IF(ISNUMBER(SEARCH("BB",BrachyTxs[[#This Row],[Physicist(s)]])),1,0)</f>
        <v>0</v>
      </c>
      <c r="G125" s="3">
        <f>IF(ISNUMBER(SEARCH("DZ",BrachyTxs[[#This Row],[Physicist(s)]])),1,0)</f>
        <v>0</v>
      </c>
      <c r="H125" s="3">
        <f>IF(ISNUMBER(SEARCH("ZC",BrachyTxs[[#This Row],[Physicist(s)]])),1,0)</f>
        <v>0</v>
      </c>
      <c r="I125" s="3">
        <f>IF(ISNUMBER(SEARCH("DJ",BrachyTxs[[#This Row],[MD(s)]])),1,0)</f>
        <v>0</v>
      </c>
      <c r="J125" s="3">
        <f>IF(ISNUMBER(SEARCH("JS",BrachyTxs[[#This Row],[MD(s)]])),1,0)</f>
        <v>0</v>
      </c>
      <c r="K125" s="3"/>
      <c r="L125" s="3"/>
      <c r="M125" s="3"/>
      <c r="N125" s="3"/>
      <c r="O125" t="b">
        <f>ValidatePatient(BrachyTxs[[#This Row],[Pt]])</f>
        <v>1</v>
      </c>
      <c r="P125" t="b">
        <f>ValidatePhysicists(BrachyTxs[[#This Row],[Physicist(s)]])</f>
        <v>1</v>
      </c>
      <c r="Q125" t="b">
        <f>ValidateMDs(BrachyTxs[[#This Row],[MD(s)]])</f>
        <v>1</v>
      </c>
      <c r="S125" s="3"/>
    </row>
    <row r="126" spans="1:19" x14ac:dyDescent="0.25">
      <c r="A126" t="s">
        <v>324</v>
      </c>
      <c r="B126" s="1">
        <v>39868</v>
      </c>
      <c r="C126" s="2" t="s">
        <v>100</v>
      </c>
      <c r="D126" s="3"/>
      <c r="E126" s="3"/>
      <c r="F126">
        <f>IF(ISNUMBER(SEARCH("BB",BrachyTxs[[#This Row],[Physicist(s)]])),1,0)</f>
        <v>0</v>
      </c>
      <c r="G126" s="3">
        <f>IF(ISNUMBER(SEARCH("DZ",BrachyTxs[[#This Row],[Physicist(s)]])),1,0)</f>
        <v>0</v>
      </c>
      <c r="H126" s="3">
        <f>IF(ISNUMBER(SEARCH("ZC",BrachyTxs[[#This Row],[Physicist(s)]])),1,0)</f>
        <v>0</v>
      </c>
      <c r="I126" s="3">
        <f>IF(ISNUMBER(SEARCH("DJ",BrachyTxs[[#This Row],[MD(s)]])),1,0)</f>
        <v>0</v>
      </c>
      <c r="J126" s="3">
        <f>IF(ISNUMBER(SEARCH("JS",BrachyTxs[[#This Row],[MD(s)]])),1,0)</f>
        <v>0</v>
      </c>
      <c r="K126" s="3"/>
      <c r="L126" s="3"/>
      <c r="M126" s="3"/>
      <c r="N126" s="3"/>
      <c r="O126" t="b">
        <f>ValidatePatient(BrachyTxs[[#This Row],[Pt]])</f>
        <v>1</v>
      </c>
      <c r="P126" t="b">
        <f>ValidatePhysicists(BrachyTxs[[#This Row],[Physicist(s)]])</f>
        <v>1</v>
      </c>
      <c r="Q126" t="b">
        <f>ValidateMDs(BrachyTxs[[#This Row],[MD(s)]])</f>
        <v>1</v>
      </c>
      <c r="S126" s="3"/>
    </row>
    <row r="127" spans="1:19" x14ac:dyDescent="0.25">
      <c r="A127" t="s">
        <v>323</v>
      </c>
      <c r="B127" s="1">
        <v>39882</v>
      </c>
      <c r="C127" s="2" t="s">
        <v>149</v>
      </c>
      <c r="D127" s="3"/>
      <c r="E127" s="3"/>
      <c r="F127">
        <f>IF(ISNUMBER(SEARCH("BB",BrachyTxs[[#This Row],[Physicist(s)]])),1,0)</f>
        <v>0</v>
      </c>
      <c r="G127" s="3">
        <f>IF(ISNUMBER(SEARCH("DZ",BrachyTxs[[#This Row],[Physicist(s)]])),1,0)</f>
        <v>0</v>
      </c>
      <c r="H127" s="3">
        <f>IF(ISNUMBER(SEARCH("ZC",BrachyTxs[[#This Row],[Physicist(s)]])),1,0)</f>
        <v>0</v>
      </c>
      <c r="I127" s="3">
        <f>IF(ISNUMBER(SEARCH("DJ",BrachyTxs[[#This Row],[MD(s)]])),1,0)</f>
        <v>0</v>
      </c>
      <c r="J127" s="3">
        <f>IF(ISNUMBER(SEARCH("JS",BrachyTxs[[#This Row],[MD(s)]])),1,0)</f>
        <v>0</v>
      </c>
      <c r="K127" s="3"/>
      <c r="L127" s="3"/>
      <c r="M127" s="3"/>
      <c r="N127" s="3"/>
      <c r="O127" t="b">
        <f>ValidatePatient(BrachyTxs[[#This Row],[Pt]])</f>
        <v>1</v>
      </c>
      <c r="P127" t="b">
        <f>ValidatePhysicists(BrachyTxs[[#This Row],[Physicist(s)]])</f>
        <v>1</v>
      </c>
      <c r="Q127" t="b">
        <f>ValidateMDs(BrachyTxs[[#This Row],[MD(s)]])</f>
        <v>1</v>
      </c>
      <c r="S127" s="3"/>
    </row>
    <row r="128" spans="1:19" x14ac:dyDescent="0.25">
      <c r="A128" t="s">
        <v>323</v>
      </c>
      <c r="B128" s="1">
        <v>39926</v>
      </c>
      <c r="C128" s="2" t="s">
        <v>118</v>
      </c>
      <c r="D128" s="3"/>
      <c r="E128" s="3"/>
      <c r="F128">
        <f>IF(ISNUMBER(SEARCH("BB",BrachyTxs[[#This Row],[Physicist(s)]])),1,0)</f>
        <v>0</v>
      </c>
      <c r="G128" s="3">
        <f>IF(ISNUMBER(SEARCH("DZ",BrachyTxs[[#This Row],[Physicist(s)]])),1,0)</f>
        <v>0</v>
      </c>
      <c r="H128" s="3">
        <f>IF(ISNUMBER(SEARCH("ZC",BrachyTxs[[#This Row],[Physicist(s)]])),1,0)</f>
        <v>0</v>
      </c>
      <c r="I128" s="3">
        <f>IF(ISNUMBER(SEARCH("DJ",BrachyTxs[[#This Row],[MD(s)]])),1,0)</f>
        <v>0</v>
      </c>
      <c r="J128" s="3">
        <f>IF(ISNUMBER(SEARCH("JS",BrachyTxs[[#This Row],[MD(s)]])),1,0)</f>
        <v>0</v>
      </c>
      <c r="K128" s="3"/>
      <c r="L128" s="3"/>
      <c r="M128" s="3"/>
      <c r="N128" s="3"/>
      <c r="O128" t="b">
        <f>ValidatePatient(BrachyTxs[[#This Row],[Pt]])</f>
        <v>1</v>
      </c>
      <c r="P128" t="b">
        <f>ValidatePhysicists(BrachyTxs[[#This Row],[Physicist(s)]])</f>
        <v>1</v>
      </c>
      <c r="Q128" t="b">
        <f>ValidateMDs(BrachyTxs[[#This Row],[MD(s)]])</f>
        <v>1</v>
      </c>
      <c r="S128" s="3"/>
    </row>
    <row r="129" spans="1:19" x14ac:dyDescent="0.25">
      <c r="A129" t="s">
        <v>323</v>
      </c>
      <c r="B129" s="1">
        <v>39948</v>
      </c>
      <c r="C129" s="2" t="s">
        <v>48</v>
      </c>
      <c r="D129" s="3"/>
      <c r="E129" s="3"/>
      <c r="F129">
        <f>IF(ISNUMBER(SEARCH("BB",BrachyTxs[[#This Row],[Physicist(s)]])),1,0)</f>
        <v>0</v>
      </c>
      <c r="G129" s="3">
        <f>IF(ISNUMBER(SEARCH("DZ",BrachyTxs[[#This Row],[Physicist(s)]])),1,0)</f>
        <v>0</v>
      </c>
      <c r="H129" s="3">
        <f>IF(ISNUMBER(SEARCH("ZC",BrachyTxs[[#This Row],[Physicist(s)]])),1,0)</f>
        <v>0</v>
      </c>
      <c r="I129" s="3">
        <f>IF(ISNUMBER(SEARCH("DJ",BrachyTxs[[#This Row],[MD(s)]])),1,0)</f>
        <v>0</v>
      </c>
      <c r="J129" s="3">
        <f>IF(ISNUMBER(SEARCH("JS",BrachyTxs[[#This Row],[MD(s)]])),1,0)</f>
        <v>0</v>
      </c>
      <c r="K129" s="3"/>
      <c r="L129" s="3"/>
      <c r="M129" s="3"/>
      <c r="N129" s="3"/>
      <c r="O129" t="b">
        <f>ValidatePatient(BrachyTxs[[#This Row],[Pt]])</f>
        <v>1</v>
      </c>
      <c r="P129" t="b">
        <f>ValidatePhysicists(BrachyTxs[[#This Row],[Physicist(s)]])</f>
        <v>1</v>
      </c>
      <c r="Q129" t="b">
        <f>ValidateMDs(BrachyTxs[[#This Row],[MD(s)]])</f>
        <v>1</v>
      </c>
      <c r="S129" s="3"/>
    </row>
    <row r="130" spans="1:19" x14ac:dyDescent="0.25">
      <c r="A130" t="s">
        <v>324</v>
      </c>
      <c r="B130" s="1">
        <v>39968</v>
      </c>
      <c r="C130" s="2" t="s">
        <v>6</v>
      </c>
      <c r="D130" s="3"/>
      <c r="E130" s="3"/>
      <c r="F130">
        <f>IF(ISNUMBER(SEARCH("BB",BrachyTxs[[#This Row],[Physicist(s)]])),1,0)</f>
        <v>0</v>
      </c>
      <c r="G130" s="3">
        <f>IF(ISNUMBER(SEARCH("DZ",BrachyTxs[[#This Row],[Physicist(s)]])),1,0)</f>
        <v>0</v>
      </c>
      <c r="H130" s="3">
        <f>IF(ISNUMBER(SEARCH("ZC",BrachyTxs[[#This Row],[Physicist(s)]])),1,0)</f>
        <v>0</v>
      </c>
      <c r="I130" s="3">
        <f>IF(ISNUMBER(SEARCH("DJ",BrachyTxs[[#This Row],[MD(s)]])),1,0)</f>
        <v>0</v>
      </c>
      <c r="J130" s="3">
        <f>IF(ISNUMBER(SEARCH("JS",BrachyTxs[[#This Row],[MD(s)]])),1,0)</f>
        <v>0</v>
      </c>
      <c r="K130" s="3"/>
      <c r="L130" s="3"/>
      <c r="M130" s="3"/>
      <c r="N130" s="3"/>
      <c r="O130" t="b">
        <f>ValidatePatient(BrachyTxs[[#This Row],[Pt]])</f>
        <v>1</v>
      </c>
      <c r="P130" t="b">
        <f>ValidatePhysicists(BrachyTxs[[#This Row],[Physicist(s)]])</f>
        <v>1</v>
      </c>
      <c r="Q130" t="b">
        <f>ValidateMDs(BrachyTxs[[#This Row],[MD(s)]])</f>
        <v>1</v>
      </c>
      <c r="S130" s="3"/>
    </row>
    <row r="131" spans="1:19" x14ac:dyDescent="0.25">
      <c r="A131" t="s">
        <v>323</v>
      </c>
      <c r="B131" s="1">
        <v>39983</v>
      </c>
      <c r="C131" s="2" t="s">
        <v>191</v>
      </c>
      <c r="D131" s="3"/>
      <c r="E131" s="3"/>
      <c r="F131">
        <f>IF(ISNUMBER(SEARCH("BB",BrachyTxs[[#This Row],[Physicist(s)]])),1,0)</f>
        <v>0</v>
      </c>
      <c r="G131" s="3">
        <f>IF(ISNUMBER(SEARCH("DZ",BrachyTxs[[#This Row],[Physicist(s)]])),1,0)</f>
        <v>0</v>
      </c>
      <c r="H131" s="3">
        <f>IF(ISNUMBER(SEARCH("ZC",BrachyTxs[[#This Row],[Physicist(s)]])),1,0)</f>
        <v>0</v>
      </c>
      <c r="I131" s="3">
        <f>IF(ISNUMBER(SEARCH("DJ",BrachyTxs[[#This Row],[MD(s)]])),1,0)</f>
        <v>0</v>
      </c>
      <c r="J131" s="3">
        <f>IF(ISNUMBER(SEARCH("JS",BrachyTxs[[#This Row],[MD(s)]])),1,0)</f>
        <v>0</v>
      </c>
      <c r="K131" s="3"/>
      <c r="L131" s="3"/>
      <c r="M131" s="3"/>
      <c r="N131" s="3"/>
      <c r="O131" t="b">
        <f>ValidatePatient(BrachyTxs[[#This Row],[Pt]])</f>
        <v>1</v>
      </c>
      <c r="P131" t="b">
        <f>ValidatePhysicists(BrachyTxs[[#This Row],[Physicist(s)]])</f>
        <v>1</v>
      </c>
      <c r="Q131" t="b">
        <f>ValidateMDs(BrachyTxs[[#This Row],[MD(s)]])</f>
        <v>1</v>
      </c>
      <c r="S131" s="3"/>
    </row>
    <row r="132" spans="1:19" x14ac:dyDescent="0.25">
      <c r="A132" t="s">
        <v>325</v>
      </c>
      <c r="B132" s="1">
        <v>40001</v>
      </c>
      <c r="C132" s="2" t="s">
        <v>121</v>
      </c>
      <c r="D132" s="3"/>
      <c r="E132" s="3"/>
      <c r="F132">
        <f>IF(ISNUMBER(SEARCH("BB",BrachyTxs[[#This Row],[Physicist(s)]])),1,0)</f>
        <v>0</v>
      </c>
      <c r="G132" s="3">
        <f>IF(ISNUMBER(SEARCH("DZ",BrachyTxs[[#This Row],[Physicist(s)]])),1,0)</f>
        <v>0</v>
      </c>
      <c r="H132" s="3">
        <f>IF(ISNUMBER(SEARCH("ZC",BrachyTxs[[#This Row],[Physicist(s)]])),1,0)</f>
        <v>0</v>
      </c>
      <c r="I132" s="3">
        <f>IF(ISNUMBER(SEARCH("DJ",BrachyTxs[[#This Row],[MD(s)]])),1,0)</f>
        <v>0</v>
      </c>
      <c r="J132" s="3">
        <f>IF(ISNUMBER(SEARCH("JS",BrachyTxs[[#This Row],[MD(s)]])),1,0)</f>
        <v>0</v>
      </c>
      <c r="K132" s="3"/>
      <c r="L132" s="3"/>
      <c r="M132" s="3"/>
      <c r="N132" s="3"/>
      <c r="O132" t="b">
        <f>ValidatePatient(BrachyTxs[[#This Row],[Pt]])</f>
        <v>1</v>
      </c>
      <c r="P132" t="b">
        <f>ValidatePhysicists(BrachyTxs[[#This Row],[Physicist(s)]])</f>
        <v>1</v>
      </c>
      <c r="Q132" t="b">
        <f>ValidateMDs(BrachyTxs[[#This Row],[MD(s)]])</f>
        <v>1</v>
      </c>
      <c r="S132" s="3"/>
    </row>
    <row r="133" spans="1:19" x14ac:dyDescent="0.25">
      <c r="A133" t="s">
        <v>324</v>
      </c>
      <c r="B133" s="1">
        <v>40002</v>
      </c>
      <c r="C133" s="2" t="s">
        <v>91</v>
      </c>
      <c r="D133" s="3"/>
      <c r="E133" s="3"/>
      <c r="F133">
        <f>IF(ISNUMBER(SEARCH("BB",BrachyTxs[[#This Row],[Physicist(s)]])),1,0)</f>
        <v>0</v>
      </c>
      <c r="G133" s="3">
        <f>IF(ISNUMBER(SEARCH("DZ",BrachyTxs[[#This Row],[Physicist(s)]])),1,0)</f>
        <v>0</v>
      </c>
      <c r="H133" s="3">
        <f>IF(ISNUMBER(SEARCH("ZC",BrachyTxs[[#This Row],[Physicist(s)]])),1,0)</f>
        <v>0</v>
      </c>
      <c r="I133" s="3">
        <f>IF(ISNUMBER(SEARCH("DJ",BrachyTxs[[#This Row],[MD(s)]])),1,0)</f>
        <v>0</v>
      </c>
      <c r="J133" s="3">
        <f>IF(ISNUMBER(SEARCH("JS",BrachyTxs[[#This Row],[MD(s)]])),1,0)</f>
        <v>0</v>
      </c>
      <c r="K133" s="3"/>
      <c r="L133" s="3"/>
      <c r="M133" s="3"/>
      <c r="N133" s="3"/>
      <c r="O133" t="b">
        <f>ValidatePatient(BrachyTxs[[#This Row],[Pt]])</f>
        <v>1</v>
      </c>
      <c r="P133" t="b">
        <f>ValidatePhysicists(BrachyTxs[[#This Row],[Physicist(s)]])</f>
        <v>1</v>
      </c>
      <c r="Q133" t="b">
        <f>ValidateMDs(BrachyTxs[[#This Row],[MD(s)]])</f>
        <v>1</v>
      </c>
      <c r="S133" s="3"/>
    </row>
    <row r="134" spans="1:19" x14ac:dyDescent="0.25">
      <c r="A134" t="s">
        <v>323</v>
      </c>
      <c r="B134" s="1">
        <v>40015</v>
      </c>
      <c r="C134" s="2" t="s">
        <v>23</v>
      </c>
      <c r="D134" s="3"/>
      <c r="E134" s="3"/>
      <c r="F134">
        <f>IF(ISNUMBER(SEARCH("BB",BrachyTxs[[#This Row],[Physicist(s)]])),1,0)</f>
        <v>0</v>
      </c>
      <c r="G134" s="3">
        <f>IF(ISNUMBER(SEARCH("DZ",BrachyTxs[[#This Row],[Physicist(s)]])),1,0)</f>
        <v>0</v>
      </c>
      <c r="H134" s="3">
        <f>IF(ISNUMBER(SEARCH("ZC",BrachyTxs[[#This Row],[Physicist(s)]])),1,0)</f>
        <v>0</v>
      </c>
      <c r="I134" s="3">
        <f>IF(ISNUMBER(SEARCH("DJ",BrachyTxs[[#This Row],[MD(s)]])),1,0)</f>
        <v>0</v>
      </c>
      <c r="J134" s="3">
        <f>IF(ISNUMBER(SEARCH("JS",BrachyTxs[[#This Row],[MD(s)]])),1,0)</f>
        <v>0</v>
      </c>
      <c r="K134" s="3"/>
      <c r="L134" s="3"/>
      <c r="M134" s="3"/>
      <c r="N134" s="3"/>
      <c r="O134" t="b">
        <f>ValidatePatient(BrachyTxs[[#This Row],[Pt]])</f>
        <v>1</v>
      </c>
      <c r="P134" t="b">
        <f>ValidatePhysicists(BrachyTxs[[#This Row],[Physicist(s)]])</f>
        <v>1</v>
      </c>
      <c r="Q134" t="b">
        <f>ValidateMDs(BrachyTxs[[#This Row],[MD(s)]])</f>
        <v>1</v>
      </c>
      <c r="S134" s="3"/>
    </row>
    <row r="135" spans="1:19" x14ac:dyDescent="0.25">
      <c r="A135" t="s">
        <v>325</v>
      </c>
      <c r="B135" s="1">
        <v>40028</v>
      </c>
      <c r="C135" s="2" t="s">
        <v>114</v>
      </c>
      <c r="D135" s="3"/>
      <c r="E135" s="3"/>
      <c r="F135">
        <f>IF(ISNUMBER(SEARCH("BB",BrachyTxs[[#This Row],[Physicist(s)]])),1,0)</f>
        <v>0</v>
      </c>
      <c r="G135" s="3">
        <f>IF(ISNUMBER(SEARCH("DZ",BrachyTxs[[#This Row],[Physicist(s)]])),1,0)</f>
        <v>0</v>
      </c>
      <c r="H135" s="3">
        <f>IF(ISNUMBER(SEARCH("ZC",BrachyTxs[[#This Row],[Physicist(s)]])),1,0)</f>
        <v>0</v>
      </c>
      <c r="I135" s="3">
        <f>IF(ISNUMBER(SEARCH("DJ",BrachyTxs[[#This Row],[MD(s)]])),1,0)</f>
        <v>0</v>
      </c>
      <c r="J135" s="3">
        <f>IF(ISNUMBER(SEARCH("JS",BrachyTxs[[#This Row],[MD(s)]])),1,0)</f>
        <v>0</v>
      </c>
      <c r="K135" s="3"/>
      <c r="L135" s="3"/>
      <c r="M135" s="3"/>
      <c r="N135" s="3"/>
      <c r="O135" t="b">
        <f>ValidatePatient(BrachyTxs[[#This Row],[Pt]])</f>
        <v>1</v>
      </c>
      <c r="P135" t="b">
        <f>ValidatePhysicists(BrachyTxs[[#This Row],[Physicist(s)]])</f>
        <v>1</v>
      </c>
      <c r="Q135" t="b">
        <f>ValidateMDs(BrachyTxs[[#This Row],[MD(s)]])</f>
        <v>1</v>
      </c>
      <c r="S135" s="3"/>
    </row>
    <row r="136" spans="1:19" x14ac:dyDescent="0.25">
      <c r="A136" t="s">
        <v>325</v>
      </c>
      <c r="B136" s="1">
        <v>40039</v>
      </c>
      <c r="C136" s="2" t="s">
        <v>275</v>
      </c>
      <c r="D136" s="3"/>
      <c r="E136" s="3"/>
      <c r="F136">
        <f>IF(ISNUMBER(SEARCH("BB",BrachyTxs[[#This Row],[Physicist(s)]])),1,0)</f>
        <v>0</v>
      </c>
      <c r="G136" s="3">
        <f>IF(ISNUMBER(SEARCH("DZ",BrachyTxs[[#This Row],[Physicist(s)]])),1,0)</f>
        <v>0</v>
      </c>
      <c r="H136" s="3">
        <f>IF(ISNUMBER(SEARCH("ZC",BrachyTxs[[#This Row],[Physicist(s)]])),1,0)</f>
        <v>0</v>
      </c>
      <c r="I136" s="3">
        <f>IF(ISNUMBER(SEARCH("DJ",BrachyTxs[[#This Row],[MD(s)]])),1,0)</f>
        <v>0</v>
      </c>
      <c r="J136" s="3">
        <f>IF(ISNUMBER(SEARCH("JS",BrachyTxs[[#This Row],[MD(s)]])),1,0)</f>
        <v>0</v>
      </c>
      <c r="K136" s="3"/>
      <c r="L136" s="3"/>
      <c r="M136" s="3"/>
      <c r="N136" s="3"/>
      <c r="O136" t="b">
        <f>ValidatePatient(BrachyTxs[[#This Row],[Pt]])</f>
        <v>1</v>
      </c>
      <c r="P136" t="b">
        <f>ValidatePhysicists(BrachyTxs[[#This Row],[Physicist(s)]])</f>
        <v>1</v>
      </c>
      <c r="Q136" t="b">
        <f>ValidateMDs(BrachyTxs[[#This Row],[MD(s)]])</f>
        <v>1</v>
      </c>
      <c r="S136" s="3"/>
    </row>
    <row r="137" spans="1:19" x14ac:dyDescent="0.25">
      <c r="A137" t="s">
        <v>323</v>
      </c>
      <c r="B137" s="1">
        <v>40074</v>
      </c>
      <c r="C137" s="2" t="s">
        <v>261</v>
      </c>
      <c r="D137" s="3"/>
      <c r="E137" s="3"/>
      <c r="F137">
        <f>IF(ISNUMBER(SEARCH("BB",BrachyTxs[[#This Row],[Physicist(s)]])),1,0)</f>
        <v>0</v>
      </c>
      <c r="G137" s="3">
        <f>IF(ISNUMBER(SEARCH("DZ",BrachyTxs[[#This Row],[Physicist(s)]])),1,0)</f>
        <v>0</v>
      </c>
      <c r="H137" s="3">
        <f>IF(ISNUMBER(SEARCH("ZC",BrachyTxs[[#This Row],[Physicist(s)]])),1,0)</f>
        <v>0</v>
      </c>
      <c r="I137" s="3">
        <f>IF(ISNUMBER(SEARCH("DJ",BrachyTxs[[#This Row],[MD(s)]])),1,0)</f>
        <v>0</v>
      </c>
      <c r="J137" s="3">
        <f>IF(ISNUMBER(SEARCH("JS",BrachyTxs[[#This Row],[MD(s)]])),1,0)</f>
        <v>0</v>
      </c>
      <c r="K137" s="3"/>
      <c r="L137" s="3"/>
      <c r="M137" s="3"/>
      <c r="N137" s="3"/>
      <c r="O137" t="b">
        <f>ValidatePatient(BrachyTxs[[#This Row],[Pt]])</f>
        <v>1</v>
      </c>
      <c r="P137" t="b">
        <f>ValidatePhysicists(BrachyTxs[[#This Row],[Physicist(s)]])</f>
        <v>1</v>
      </c>
      <c r="Q137" t="b">
        <f>ValidateMDs(BrachyTxs[[#This Row],[MD(s)]])</f>
        <v>1</v>
      </c>
      <c r="S137" s="3"/>
    </row>
    <row r="138" spans="1:19" x14ac:dyDescent="0.25">
      <c r="A138" t="s">
        <v>325</v>
      </c>
      <c r="B138" s="1">
        <v>40099</v>
      </c>
      <c r="C138" s="2" t="s">
        <v>176</v>
      </c>
      <c r="D138" s="3"/>
      <c r="E138" s="3"/>
      <c r="F138">
        <f>IF(ISNUMBER(SEARCH("BB",BrachyTxs[[#This Row],[Physicist(s)]])),1,0)</f>
        <v>0</v>
      </c>
      <c r="G138" s="3">
        <f>IF(ISNUMBER(SEARCH("DZ",BrachyTxs[[#This Row],[Physicist(s)]])),1,0)</f>
        <v>0</v>
      </c>
      <c r="H138" s="3">
        <f>IF(ISNUMBER(SEARCH("ZC",BrachyTxs[[#This Row],[Physicist(s)]])),1,0)</f>
        <v>0</v>
      </c>
      <c r="I138" s="3">
        <f>IF(ISNUMBER(SEARCH("DJ",BrachyTxs[[#This Row],[MD(s)]])),1,0)</f>
        <v>0</v>
      </c>
      <c r="J138" s="3">
        <f>IF(ISNUMBER(SEARCH("JS",BrachyTxs[[#This Row],[MD(s)]])),1,0)</f>
        <v>0</v>
      </c>
      <c r="K138" s="3"/>
      <c r="L138" s="3"/>
      <c r="M138" s="3"/>
      <c r="N138" s="3"/>
      <c r="O138" t="b">
        <f>ValidatePatient(BrachyTxs[[#This Row],[Pt]])</f>
        <v>1</v>
      </c>
      <c r="P138" t="b">
        <f>ValidatePhysicists(BrachyTxs[[#This Row],[Physicist(s)]])</f>
        <v>1</v>
      </c>
      <c r="Q138" t="b">
        <f>ValidateMDs(BrachyTxs[[#This Row],[MD(s)]])</f>
        <v>1</v>
      </c>
      <c r="S138" s="3"/>
    </row>
    <row r="139" spans="1:19" x14ac:dyDescent="0.25">
      <c r="A139" t="s">
        <v>323</v>
      </c>
      <c r="B139" s="1">
        <v>40119</v>
      </c>
      <c r="C139" s="2" t="s">
        <v>68</v>
      </c>
      <c r="D139" s="3"/>
      <c r="E139" s="3"/>
      <c r="F139">
        <f>IF(ISNUMBER(SEARCH("BB",BrachyTxs[[#This Row],[Physicist(s)]])),1,0)</f>
        <v>0</v>
      </c>
      <c r="G139" s="3">
        <f>IF(ISNUMBER(SEARCH("DZ",BrachyTxs[[#This Row],[Physicist(s)]])),1,0)</f>
        <v>0</v>
      </c>
      <c r="H139" s="3">
        <f>IF(ISNUMBER(SEARCH("ZC",BrachyTxs[[#This Row],[Physicist(s)]])),1,0)</f>
        <v>0</v>
      </c>
      <c r="I139" s="3">
        <f>IF(ISNUMBER(SEARCH("DJ",BrachyTxs[[#This Row],[MD(s)]])),1,0)</f>
        <v>0</v>
      </c>
      <c r="J139" s="3">
        <f>IF(ISNUMBER(SEARCH("JS",BrachyTxs[[#This Row],[MD(s)]])),1,0)</f>
        <v>0</v>
      </c>
      <c r="K139" s="3"/>
      <c r="L139" s="3"/>
      <c r="M139" s="3"/>
      <c r="N139" s="3"/>
      <c r="O139" t="b">
        <f>ValidatePatient(BrachyTxs[[#This Row],[Pt]])</f>
        <v>1</v>
      </c>
      <c r="P139" t="b">
        <f>ValidatePhysicists(BrachyTxs[[#This Row],[Physicist(s)]])</f>
        <v>1</v>
      </c>
      <c r="Q139" t="b">
        <f>ValidateMDs(BrachyTxs[[#This Row],[MD(s)]])</f>
        <v>1</v>
      </c>
      <c r="S139" s="3"/>
    </row>
    <row r="140" spans="1:19" x14ac:dyDescent="0.25">
      <c r="A140" t="s">
        <v>325</v>
      </c>
      <c r="B140" s="1">
        <v>40119</v>
      </c>
      <c r="C140" s="2" t="s">
        <v>201</v>
      </c>
      <c r="D140" s="3"/>
      <c r="E140" s="3"/>
      <c r="F140">
        <f>IF(ISNUMBER(SEARCH("BB",BrachyTxs[[#This Row],[Physicist(s)]])),1,0)</f>
        <v>0</v>
      </c>
      <c r="G140" s="3">
        <f>IF(ISNUMBER(SEARCH("DZ",BrachyTxs[[#This Row],[Physicist(s)]])),1,0)</f>
        <v>0</v>
      </c>
      <c r="H140" s="3">
        <f>IF(ISNUMBER(SEARCH("ZC",BrachyTxs[[#This Row],[Physicist(s)]])),1,0)</f>
        <v>0</v>
      </c>
      <c r="I140" s="3">
        <f>IF(ISNUMBER(SEARCH("DJ",BrachyTxs[[#This Row],[MD(s)]])),1,0)</f>
        <v>0</v>
      </c>
      <c r="J140" s="3">
        <f>IF(ISNUMBER(SEARCH("JS",BrachyTxs[[#This Row],[MD(s)]])),1,0)</f>
        <v>0</v>
      </c>
      <c r="K140" s="3"/>
      <c r="L140" s="3"/>
      <c r="M140" s="3"/>
      <c r="N140" s="3"/>
      <c r="O140" t="b">
        <f>ValidatePatient(BrachyTxs[[#This Row],[Pt]])</f>
        <v>1</v>
      </c>
      <c r="P140" t="b">
        <f>ValidatePhysicists(BrachyTxs[[#This Row],[Physicist(s)]])</f>
        <v>1</v>
      </c>
      <c r="Q140" t="b">
        <f>ValidateMDs(BrachyTxs[[#This Row],[MD(s)]])</f>
        <v>1</v>
      </c>
      <c r="S140" s="3"/>
    </row>
    <row r="141" spans="1:19" x14ac:dyDescent="0.25">
      <c r="A141" t="s">
        <v>323</v>
      </c>
      <c r="B141" s="1">
        <v>40119</v>
      </c>
      <c r="C141" s="2" t="s">
        <v>389</v>
      </c>
      <c r="D141" s="3"/>
      <c r="E141" s="3"/>
      <c r="F141">
        <f>IF(ISNUMBER(SEARCH("BB",BrachyTxs[[#This Row],[Physicist(s)]])),1,0)</f>
        <v>0</v>
      </c>
      <c r="G141" s="3">
        <f>IF(ISNUMBER(SEARCH("DZ",BrachyTxs[[#This Row],[Physicist(s)]])),1,0)</f>
        <v>0</v>
      </c>
      <c r="H141" s="3">
        <f>IF(ISNUMBER(SEARCH("ZC",BrachyTxs[[#This Row],[Physicist(s)]])),1,0)</f>
        <v>0</v>
      </c>
      <c r="I141" s="3">
        <f>IF(ISNUMBER(SEARCH("DJ",BrachyTxs[[#This Row],[MD(s)]])),1,0)</f>
        <v>0</v>
      </c>
      <c r="J141" s="3">
        <f>IF(ISNUMBER(SEARCH("JS",BrachyTxs[[#This Row],[MD(s)]])),1,0)</f>
        <v>0</v>
      </c>
      <c r="K141" s="3"/>
      <c r="L141" s="3"/>
      <c r="M141" s="3"/>
      <c r="N141" s="3"/>
      <c r="O141" t="b">
        <f>ValidatePatient(BrachyTxs[[#This Row],[Pt]])</f>
        <v>0</v>
      </c>
      <c r="P141" t="b">
        <f>ValidatePhysicists(BrachyTxs[[#This Row],[Physicist(s)]])</f>
        <v>1</v>
      </c>
      <c r="Q141" t="b">
        <f>ValidateMDs(BrachyTxs[[#This Row],[MD(s)]])</f>
        <v>1</v>
      </c>
      <c r="S141" s="3"/>
    </row>
    <row r="142" spans="1:19" x14ac:dyDescent="0.25">
      <c r="A142" t="s">
        <v>325</v>
      </c>
      <c r="B142" s="1">
        <v>40126</v>
      </c>
      <c r="C142" s="2" t="s">
        <v>101</v>
      </c>
      <c r="D142" s="3"/>
      <c r="E142" s="3"/>
      <c r="F142">
        <f>IF(ISNUMBER(SEARCH("BB",BrachyTxs[[#This Row],[Physicist(s)]])),1,0)</f>
        <v>0</v>
      </c>
      <c r="G142" s="3">
        <f>IF(ISNUMBER(SEARCH("DZ",BrachyTxs[[#This Row],[Physicist(s)]])),1,0)</f>
        <v>0</v>
      </c>
      <c r="H142" s="3">
        <f>IF(ISNUMBER(SEARCH("ZC",BrachyTxs[[#This Row],[Physicist(s)]])),1,0)</f>
        <v>0</v>
      </c>
      <c r="I142" s="3">
        <f>IF(ISNUMBER(SEARCH("DJ",BrachyTxs[[#This Row],[MD(s)]])),1,0)</f>
        <v>0</v>
      </c>
      <c r="J142" s="3">
        <f>IF(ISNUMBER(SEARCH("JS",BrachyTxs[[#This Row],[MD(s)]])),1,0)</f>
        <v>0</v>
      </c>
      <c r="K142" s="3"/>
      <c r="L142" s="3"/>
      <c r="M142" s="3"/>
      <c r="N142" s="3"/>
      <c r="O142" t="b">
        <f>ValidatePatient(BrachyTxs[[#This Row],[Pt]])</f>
        <v>1</v>
      </c>
      <c r="P142" t="b">
        <f>ValidatePhysicists(BrachyTxs[[#This Row],[Physicist(s)]])</f>
        <v>1</v>
      </c>
      <c r="Q142" t="b">
        <f>ValidateMDs(BrachyTxs[[#This Row],[MD(s)]])</f>
        <v>1</v>
      </c>
      <c r="S142" s="3"/>
    </row>
    <row r="143" spans="1:19" x14ac:dyDescent="0.25">
      <c r="A143" t="s">
        <v>325</v>
      </c>
      <c r="B143" s="1">
        <v>40164</v>
      </c>
      <c r="C143" s="2" t="s">
        <v>30</v>
      </c>
      <c r="D143" s="3"/>
      <c r="E143" s="3"/>
      <c r="F143">
        <f>IF(ISNUMBER(SEARCH("BB",BrachyTxs[[#This Row],[Physicist(s)]])),1,0)</f>
        <v>0</v>
      </c>
      <c r="G143" s="3">
        <f>IF(ISNUMBER(SEARCH("DZ",BrachyTxs[[#This Row],[Physicist(s)]])),1,0)</f>
        <v>0</v>
      </c>
      <c r="H143" s="3">
        <f>IF(ISNUMBER(SEARCH("ZC",BrachyTxs[[#This Row],[Physicist(s)]])),1,0)</f>
        <v>0</v>
      </c>
      <c r="I143" s="3">
        <f>IF(ISNUMBER(SEARCH("DJ",BrachyTxs[[#This Row],[MD(s)]])),1,0)</f>
        <v>0</v>
      </c>
      <c r="J143" s="3">
        <f>IF(ISNUMBER(SEARCH("JS",BrachyTxs[[#This Row],[MD(s)]])),1,0)</f>
        <v>0</v>
      </c>
      <c r="K143" s="3"/>
      <c r="L143" s="3"/>
      <c r="M143" s="3"/>
      <c r="N143" s="3"/>
      <c r="O143" t="b">
        <f>ValidatePatient(BrachyTxs[[#This Row],[Pt]])</f>
        <v>1</v>
      </c>
      <c r="P143" t="b">
        <f>ValidatePhysicists(BrachyTxs[[#This Row],[Physicist(s)]])</f>
        <v>1</v>
      </c>
      <c r="Q143" t="b">
        <f>ValidateMDs(BrachyTxs[[#This Row],[MD(s)]])</f>
        <v>1</v>
      </c>
      <c r="S143" s="3"/>
    </row>
    <row r="144" spans="1:19" x14ac:dyDescent="0.25">
      <c r="A144" t="s">
        <v>325</v>
      </c>
      <c r="B144" s="1">
        <v>40193</v>
      </c>
      <c r="C144" s="2" t="s">
        <v>7</v>
      </c>
      <c r="D144" s="3"/>
      <c r="E144" s="3"/>
      <c r="F144">
        <f>IF(ISNUMBER(SEARCH("BB",BrachyTxs[[#This Row],[Physicist(s)]])),1,0)</f>
        <v>0</v>
      </c>
      <c r="G144" s="3">
        <f>IF(ISNUMBER(SEARCH("DZ",BrachyTxs[[#This Row],[Physicist(s)]])),1,0)</f>
        <v>0</v>
      </c>
      <c r="H144" s="3">
        <f>IF(ISNUMBER(SEARCH("ZC",BrachyTxs[[#This Row],[Physicist(s)]])),1,0)</f>
        <v>0</v>
      </c>
      <c r="I144" s="3">
        <f>IF(ISNUMBER(SEARCH("DJ",BrachyTxs[[#This Row],[MD(s)]])),1,0)</f>
        <v>0</v>
      </c>
      <c r="J144" s="3">
        <f>IF(ISNUMBER(SEARCH("JS",BrachyTxs[[#This Row],[MD(s)]])),1,0)</f>
        <v>0</v>
      </c>
      <c r="K144" s="3"/>
      <c r="L144" s="3"/>
      <c r="M144" s="3"/>
      <c r="N144" s="3"/>
      <c r="O144" t="b">
        <f>ValidatePatient(BrachyTxs[[#This Row],[Pt]])</f>
        <v>1</v>
      </c>
      <c r="P144" t="b">
        <f>ValidatePhysicists(BrachyTxs[[#This Row],[Physicist(s)]])</f>
        <v>1</v>
      </c>
      <c r="Q144" t="b">
        <f>ValidateMDs(BrachyTxs[[#This Row],[MD(s)]])</f>
        <v>1</v>
      </c>
      <c r="S144" s="3"/>
    </row>
    <row r="145" spans="1:19" x14ac:dyDescent="0.25">
      <c r="A145" t="s">
        <v>323</v>
      </c>
      <c r="B145" s="1">
        <v>40197</v>
      </c>
      <c r="C145" s="2" t="s">
        <v>133</v>
      </c>
      <c r="D145" s="3"/>
      <c r="E145" s="3"/>
      <c r="F145">
        <f>IF(ISNUMBER(SEARCH("BB",BrachyTxs[[#This Row],[Physicist(s)]])),1,0)</f>
        <v>0</v>
      </c>
      <c r="G145" s="3">
        <f>IF(ISNUMBER(SEARCH("DZ",BrachyTxs[[#This Row],[Physicist(s)]])),1,0)</f>
        <v>0</v>
      </c>
      <c r="H145" s="3">
        <f>IF(ISNUMBER(SEARCH("ZC",BrachyTxs[[#This Row],[Physicist(s)]])),1,0)</f>
        <v>0</v>
      </c>
      <c r="I145" s="3">
        <f>IF(ISNUMBER(SEARCH("DJ",BrachyTxs[[#This Row],[MD(s)]])),1,0)</f>
        <v>0</v>
      </c>
      <c r="J145" s="3">
        <f>IF(ISNUMBER(SEARCH("JS",BrachyTxs[[#This Row],[MD(s)]])),1,0)</f>
        <v>0</v>
      </c>
      <c r="K145" s="3"/>
      <c r="L145" s="3"/>
      <c r="M145" s="3"/>
      <c r="N145" s="3"/>
      <c r="O145" t="b">
        <f>ValidatePatient(BrachyTxs[[#This Row],[Pt]])</f>
        <v>1</v>
      </c>
      <c r="P145" t="b">
        <f>ValidatePhysicists(BrachyTxs[[#This Row],[Physicist(s)]])</f>
        <v>1</v>
      </c>
      <c r="Q145" t="b">
        <f>ValidateMDs(BrachyTxs[[#This Row],[MD(s)]])</f>
        <v>1</v>
      </c>
      <c r="S145" s="3"/>
    </row>
    <row r="146" spans="1:19" x14ac:dyDescent="0.25">
      <c r="A146" t="s">
        <v>323</v>
      </c>
      <c r="B146" s="1">
        <v>40204</v>
      </c>
      <c r="C146" s="2" t="s">
        <v>70</v>
      </c>
      <c r="D146" s="3"/>
      <c r="E146" s="3"/>
      <c r="F146">
        <f>IF(ISNUMBER(SEARCH("BB",BrachyTxs[[#This Row],[Physicist(s)]])),1,0)</f>
        <v>0</v>
      </c>
      <c r="G146" s="3">
        <f>IF(ISNUMBER(SEARCH("DZ",BrachyTxs[[#This Row],[Physicist(s)]])),1,0)</f>
        <v>0</v>
      </c>
      <c r="H146" s="3">
        <f>IF(ISNUMBER(SEARCH("ZC",BrachyTxs[[#This Row],[Physicist(s)]])),1,0)</f>
        <v>0</v>
      </c>
      <c r="I146" s="3">
        <f>IF(ISNUMBER(SEARCH("DJ",BrachyTxs[[#This Row],[MD(s)]])),1,0)</f>
        <v>0</v>
      </c>
      <c r="J146" s="3">
        <f>IF(ISNUMBER(SEARCH("JS",BrachyTxs[[#This Row],[MD(s)]])),1,0)</f>
        <v>0</v>
      </c>
      <c r="K146" s="3"/>
      <c r="L146" s="3"/>
      <c r="M146" s="3"/>
      <c r="N146" s="3"/>
      <c r="O146" t="b">
        <f>ValidatePatient(BrachyTxs[[#This Row],[Pt]])</f>
        <v>1</v>
      </c>
      <c r="P146" t="b">
        <f>ValidatePhysicists(BrachyTxs[[#This Row],[Physicist(s)]])</f>
        <v>1</v>
      </c>
      <c r="Q146" t="b">
        <f>ValidateMDs(BrachyTxs[[#This Row],[MD(s)]])</f>
        <v>1</v>
      </c>
      <c r="S146" s="3"/>
    </row>
    <row r="147" spans="1:19" x14ac:dyDescent="0.25">
      <c r="A147" t="s">
        <v>325</v>
      </c>
      <c r="B147" s="1">
        <v>40240</v>
      </c>
      <c r="C147" s="2" t="s">
        <v>87</v>
      </c>
      <c r="D147" s="3"/>
      <c r="E147" s="3"/>
      <c r="F147">
        <f>IF(ISNUMBER(SEARCH("BB",BrachyTxs[[#This Row],[Physicist(s)]])),1,0)</f>
        <v>0</v>
      </c>
      <c r="G147" s="3">
        <f>IF(ISNUMBER(SEARCH("DZ",BrachyTxs[[#This Row],[Physicist(s)]])),1,0)</f>
        <v>0</v>
      </c>
      <c r="H147" s="3">
        <f>IF(ISNUMBER(SEARCH("ZC",BrachyTxs[[#This Row],[Physicist(s)]])),1,0)</f>
        <v>0</v>
      </c>
      <c r="I147" s="3">
        <f>IF(ISNUMBER(SEARCH("DJ",BrachyTxs[[#This Row],[MD(s)]])),1,0)</f>
        <v>0</v>
      </c>
      <c r="J147" s="3">
        <f>IF(ISNUMBER(SEARCH("JS",BrachyTxs[[#This Row],[MD(s)]])),1,0)</f>
        <v>0</v>
      </c>
      <c r="K147" s="3"/>
      <c r="L147" s="3"/>
      <c r="M147" s="3"/>
      <c r="N147" s="3"/>
      <c r="O147" t="b">
        <f>ValidatePatient(BrachyTxs[[#This Row],[Pt]])</f>
        <v>1</v>
      </c>
      <c r="P147" t="b">
        <f>ValidatePhysicists(BrachyTxs[[#This Row],[Physicist(s)]])</f>
        <v>1</v>
      </c>
      <c r="Q147" t="b">
        <f>ValidateMDs(BrachyTxs[[#This Row],[MD(s)]])</f>
        <v>1</v>
      </c>
      <c r="S147" s="3"/>
    </row>
    <row r="148" spans="1:19" x14ac:dyDescent="0.25">
      <c r="A148" t="s">
        <v>324</v>
      </c>
      <c r="B148" s="1">
        <v>40268</v>
      </c>
      <c r="C148" s="2" t="s">
        <v>111</v>
      </c>
      <c r="D148" s="3"/>
      <c r="E148" s="3"/>
      <c r="F148">
        <f>IF(ISNUMBER(SEARCH("BB",BrachyTxs[[#This Row],[Physicist(s)]])),1,0)</f>
        <v>0</v>
      </c>
      <c r="G148" s="3">
        <f>IF(ISNUMBER(SEARCH("DZ",BrachyTxs[[#This Row],[Physicist(s)]])),1,0)</f>
        <v>0</v>
      </c>
      <c r="H148" s="3">
        <f>IF(ISNUMBER(SEARCH("ZC",BrachyTxs[[#This Row],[Physicist(s)]])),1,0)</f>
        <v>0</v>
      </c>
      <c r="I148" s="3">
        <f>IF(ISNUMBER(SEARCH("DJ",BrachyTxs[[#This Row],[MD(s)]])),1,0)</f>
        <v>0</v>
      </c>
      <c r="J148" s="3">
        <f>IF(ISNUMBER(SEARCH("JS",BrachyTxs[[#This Row],[MD(s)]])),1,0)</f>
        <v>0</v>
      </c>
      <c r="K148" s="3"/>
      <c r="L148" s="3"/>
      <c r="M148" s="3"/>
      <c r="N148" s="3"/>
      <c r="O148" t="b">
        <f>ValidatePatient(BrachyTxs[[#This Row],[Pt]])</f>
        <v>1</v>
      </c>
      <c r="P148" t="b">
        <f>ValidatePhysicists(BrachyTxs[[#This Row],[Physicist(s)]])</f>
        <v>1</v>
      </c>
      <c r="Q148" t="b">
        <f>ValidateMDs(BrachyTxs[[#This Row],[MD(s)]])</f>
        <v>1</v>
      </c>
      <c r="S148" s="3"/>
    </row>
    <row r="149" spans="1:19" x14ac:dyDescent="0.25">
      <c r="A149" t="s">
        <v>324</v>
      </c>
      <c r="B149" s="1">
        <v>40283</v>
      </c>
      <c r="C149" s="2" t="s">
        <v>111</v>
      </c>
      <c r="D149" s="3"/>
      <c r="E149" s="3"/>
      <c r="F149">
        <f>IF(ISNUMBER(SEARCH("BB",BrachyTxs[[#This Row],[Physicist(s)]])),1,0)</f>
        <v>0</v>
      </c>
      <c r="G149" s="3">
        <f>IF(ISNUMBER(SEARCH("DZ",BrachyTxs[[#This Row],[Physicist(s)]])),1,0)</f>
        <v>0</v>
      </c>
      <c r="H149" s="3">
        <f>IF(ISNUMBER(SEARCH("ZC",BrachyTxs[[#This Row],[Physicist(s)]])),1,0)</f>
        <v>0</v>
      </c>
      <c r="I149" s="3">
        <f>IF(ISNUMBER(SEARCH("DJ",BrachyTxs[[#This Row],[MD(s)]])),1,0)</f>
        <v>0</v>
      </c>
      <c r="J149" s="3">
        <f>IF(ISNUMBER(SEARCH("JS",BrachyTxs[[#This Row],[MD(s)]])),1,0)</f>
        <v>0</v>
      </c>
      <c r="K149" s="3"/>
      <c r="L149" s="3"/>
      <c r="M149" s="3"/>
      <c r="N149" s="3"/>
      <c r="O149" t="b">
        <f>ValidatePatient(BrachyTxs[[#This Row],[Pt]])</f>
        <v>1</v>
      </c>
      <c r="P149" t="b">
        <f>ValidatePhysicists(BrachyTxs[[#This Row],[Physicist(s)]])</f>
        <v>1</v>
      </c>
      <c r="Q149" t="b">
        <f>ValidateMDs(BrachyTxs[[#This Row],[MD(s)]])</f>
        <v>1</v>
      </c>
      <c r="S149" s="3"/>
    </row>
    <row r="150" spans="1:19" x14ac:dyDescent="0.25">
      <c r="A150" t="s">
        <v>323</v>
      </c>
      <c r="B150" s="1">
        <v>40309</v>
      </c>
      <c r="C150" s="2" t="s">
        <v>255</v>
      </c>
      <c r="D150" s="3"/>
      <c r="E150" s="3"/>
      <c r="F150">
        <f>IF(ISNUMBER(SEARCH("BB",BrachyTxs[[#This Row],[Physicist(s)]])),1,0)</f>
        <v>0</v>
      </c>
      <c r="G150" s="3">
        <f>IF(ISNUMBER(SEARCH("DZ",BrachyTxs[[#This Row],[Physicist(s)]])),1,0)</f>
        <v>0</v>
      </c>
      <c r="H150" s="3">
        <f>IF(ISNUMBER(SEARCH("ZC",BrachyTxs[[#This Row],[Physicist(s)]])),1,0)</f>
        <v>0</v>
      </c>
      <c r="I150" s="3">
        <f>IF(ISNUMBER(SEARCH("DJ",BrachyTxs[[#This Row],[MD(s)]])),1,0)</f>
        <v>0</v>
      </c>
      <c r="J150" s="3">
        <f>IF(ISNUMBER(SEARCH("JS",BrachyTxs[[#This Row],[MD(s)]])),1,0)</f>
        <v>0</v>
      </c>
      <c r="K150" s="3"/>
      <c r="L150" s="3"/>
      <c r="M150" s="3"/>
      <c r="N150" s="3"/>
      <c r="O150" t="b">
        <f>ValidatePatient(BrachyTxs[[#This Row],[Pt]])</f>
        <v>1</v>
      </c>
      <c r="P150" t="b">
        <f>ValidatePhysicists(BrachyTxs[[#This Row],[Physicist(s)]])</f>
        <v>1</v>
      </c>
      <c r="Q150" t="b">
        <f>ValidateMDs(BrachyTxs[[#This Row],[MD(s)]])</f>
        <v>1</v>
      </c>
      <c r="S150" s="3"/>
    </row>
    <row r="151" spans="1:19" x14ac:dyDescent="0.25">
      <c r="A151" t="s">
        <v>325</v>
      </c>
      <c r="B151" s="1">
        <v>40330</v>
      </c>
      <c r="C151" s="2" t="s">
        <v>168</v>
      </c>
      <c r="D151" s="3"/>
      <c r="E151" s="3"/>
      <c r="F151">
        <f>IF(ISNUMBER(SEARCH("BB",BrachyTxs[[#This Row],[Physicist(s)]])),1,0)</f>
        <v>0</v>
      </c>
      <c r="G151" s="3">
        <f>IF(ISNUMBER(SEARCH("DZ",BrachyTxs[[#This Row],[Physicist(s)]])),1,0)</f>
        <v>0</v>
      </c>
      <c r="H151" s="3">
        <f>IF(ISNUMBER(SEARCH("ZC",BrachyTxs[[#This Row],[Physicist(s)]])),1,0)</f>
        <v>0</v>
      </c>
      <c r="I151" s="3">
        <f>IF(ISNUMBER(SEARCH("DJ",BrachyTxs[[#This Row],[MD(s)]])),1,0)</f>
        <v>0</v>
      </c>
      <c r="J151" s="3">
        <f>IF(ISNUMBER(SEARCH("JS",BrachyTxs[[#This Row],[MD(s)]])),1,0)</f>
        <v>0</v>
      </c>
      <c r="K151" s="3"/>
      <c r="L151" s="3"/>
      <c r="M151" s="3"/>
      <c r="N151" s="3"/>
      <c r="O151" t="b">
        <f>ValidatePatient(BrachyTxs[[#This Row],[Pt]])</f>
        <v>1</v>
      </c>
      <c r="P151" t="b">
        <f>ValidatePhysicists(BrachyTxs[[#This Row],[Physicist(s)]])</f>
        <v>1</v>
      </c>
      <c r="Q151" t="b">
        <f>ValidateMDs(BrachyTxs[[#This Row],[MD(s)]])</f>
        <v>1</v>
      </c>
      <c r="S151" s="3"/>
    </row>
    <row r="152" spans="1:19" x14ac:dyDescent="0.25">
      <c r="A152" t="s">
        <v>325</v>
      </c>
      <c r="B152" s="1">
        <v>40380</v>
      </c>
      <c r="C152" s="2" t="s">
        <v>31</v>
      </c>
      <c r="D152" s="3"/>
      <c r="E152" s="3"/>
      <c r="F152">
        <f>IF(ISNUMBER(SEARCH("BB",BrachyTxs[[#This Row],[Physicist(s)]])),1,0)</f>
        <v>0</v>
      </c>
      <c r="G152" s="3">
        <f>IF(ISNUMBER(SEARCH("DZ",BrachyTxs[[#This Row],[Physicist(s)]])),1,0)</f>
        <v>0</v>
      </c>
      <c r="H152" s="3">
        <f>IF(ISNUMBER(SEARCH("ZC",BrachyTxs[[#This Row],[Physicist(s)]])),1,0)</f>
        <v>0</v>
      </c>
      <c r="I152" s="3">
        <f>IF(ISNUMBER(SEARCH("DJ",BrachyTxs[[#This Row],[MD(s)]])),1,0)</f>
        <v>0</v>
      </c>
      <c r="J152" s="3">
        <f>IF(ISNUMBER(SEARCH("JS",BrachyTxs[[#This Row],[MD(s)]])),1,0)</f>
        <v>0</v>
      </c>
      <c r="K152" s="3"/>
      <c r="L152" s="3"/>
      <c r="M152" s="3"/>
      <c r="N152" s="3"/>
      <c r="O152" t="b">
        <f>ValidatePatient(BrachyTxs[[#This Row],[Pt]])</f>
        <v>1</v>
      </c>
      <c r="P152" t="b">
        <f>ValidatePhysicists(BrachyTxs[[#This Row],[Physicist(s)]])</f>
        <v>1</v>
      </c>
      <c r="Q152" t="b">
        <f>ValidateMDs(BrachyTxs[[#This Row],[MD(s)]])</f>
        <v>1</v>
      </c>
      <c r="S152" s="3"/>
    </row>
    <row r="153" spans="1:19" x14ac:dyDescent="0.25">
      <c r="A153" t="s">
        <v>323</v>
      </c>
      <c r="B153" s="1">
        <v>40400</v>
      </c>
      <c r="C153" s="2" t="s">
        <v>236</v>
      </c>
      <c r="D153" s="3"/>
      <c r="E153" s="3"/>
      <c r="F153">
        <f>IF(ISNUMBER(SEARCH("BB",BrachyTxs[[#This Row],[Physicist(s)]])),1,0)</f>
        <v>0</v>
      </c>
      <c r="G153" s="3">
        <f>IF(ISNUMBER(SEARCH("DZ",BrachyTxs[[#This Row],[Physicist(s)]])),1,0)</f>
        <v>0</v>
      </c>
      <c r="H153" s="3">
        <f>IF(ISNUMBER(SEARCH("ZC",BrachyTxs[[#This Row],[Physicist(s)]])),1,0)</f>
        <v>0</v>
      </c>
      <c r="I153" s="3">
        <f>IF(ISNUMBER(SEARCH("DJ",BrachyTxs[[#This Row],[MD(s)]])),1,0)</f>
        <v>0</v>
      </c>
      <c r="J153" s="3">
        <f>IF(ISNUMBER(SEARCH("JS",BrachyTxs[[#This Row],[MD(s)]])),1,0)</f>
        <v>0</v>
      </c>
      <c r="K153" s="3"/>
      <c r="L153" s="3"/>
      <c r="M153" s="3"/>
      <c r="N153" s="3"/>
      <c r="O153" t="b">
        <f>ValidatePatient(BrachyTxs[[#This Row],[Pt]])</f>
        <v>1</v>
      </c>
      <c r="P153" t="b">
        <f>ValidatePhysicists(BrachyTxs[[#This Row],[Physicist(s)]])</f>
        <v>1</v>
      </c>
      <c r="Q153" t="b">
        <f>ValidateMDs(BrachyTxs[[#This Row],[MD(s)]])</f>
        <v>1</v>
      </c>
      <c r="S153" s="3"/>
    </row>
    <row r="154" spans="1:19" x14ac:dyDescent="0.25">
      <c r="A154" t="s">
        <v>324</v>
      </c>
      <c r="B154" s="1">
        <v>40407</v>
      </c>
      <c r="C154" s="2" t="s">
        <v>247</v>
      </c>
      <c r="D154" s="3"/>
      <c r="E154" s="3"/>
      <c r="F154">
        <f>IF(ISNUMBER(SEARCH("BB",BrachyTxs[[#This Row],[Physicist(s)]])),1,0)</f>
        <v>0</v>
      </c>
      <c r="G154" s="3">
        <f>IF(ISNUMBER(SEARCH("DZ",BrachyTxs[[#This Row],[Physicist(s)]])),1,0)</f>
        <v>0</v>
      </c>
      <c r="H154" s="3">
        <f>IF(ISNUMBER(SEARCH("ZC",BrachyTxs[[#This Row],[Physicist(s)]])),1,0)</f>
        <v>0</v>
      </c>
      <c r="I154" s="3">
        <f>IF(ISNUMBER(SEARCH("DJ",BrachyTxs[[#This Row],[MD(s)]])),1,0)</f>
        <v>0</v>
      </c>
      <c r="J154" s="3">
        <f>IF(ISNUMBER(SEARCH("JS",BrachyTxs[[#This Row],[MD(s)]])),1,0)</f>
        <v>0</v>
      </c>
      <c r="K154" s="3"/>
      <c r="L154" s="3"/>
      <c r="M154" s="3"/>
      <c r="N154" s="3"/>
      <c r="O154" t="b">
        <f>ValidatePatient(BrachyTxs[[#This Row],[Pt]])</f>
        <v>1</v>
      </c>
      <c r="P154" t="b">
        <f>ValidatePhysicists(BrachyTxs[[#This Row],[Physicist(s)]])</f>
        <v>1</v>
      </c>
      <c r="Q154" t="b">
        <f>ValidateMDs(BrachyTxs[[#This Row],[MD(s)]])</f>
        <v>1</v>
      </c>
      <c r="S154" s="3"/>
    </row>
    <row r="155" spans="1:19" x14ac:dyDescent="0.25">
      <c r="A155" t="s">
        <v>325</v>
      </c>
      <c r="B155" s="1">
        <v>40415</v>
      </c>
      <c r="C155" s="2" t="s">
        <v>282</v>
      </c>
      <c r="D155" s="3"/>
      <c r="E155" s="3"/>
      <c r="F155">
        <f>IF(ISNUMBER(SEARCH("BB",BrachyTxs[[#This Row],[Physicist(s)]])),1,0)</f>
        <v>0</v>
      </c>
      <c r="G155" s="3">
        <f>IF(ISNUMBER(SEARCH("DZ",BrachyTxs[[#This Row],[Physicist(s)]])),1,0)</f>
        <v>0</v>
      </c>
      <c r="H155" s="3">
        <f>IF(ISNUMBER(SEARCH("ZC",BrachyTxs[[#This Row],[Physicist(s)]])),1,0)</f>
        <v>0</v>
      </c>
      <c r="I155" s="3">
        <f>IF(ISNUMBER(SEARCH("DJ",BrachyTxs[[#This Row],[MD(s)]])),1,0)</f>
        <v>0</v>
      </c>
      <c r="J155" s="3">
        <f>IF(ISNUMBER(SEARCH("JS",BrachyTxs[[#This Row],[MD(s)]])),1,0)</f>
        <v>0</v>
      </c>
      <c r="K155" s="3"/>
      <c r="L155" s="3"/>
      <c r="M155" s="3"/>
      <c r="N155" s="3"/>
      <c r="O155" t="b">
        <f>ValidatePatient(BrachyTxs[[#This Row],[Pt]])</f>
        <v>1</v>
      </c>
      <c r="P155" t="b">
        <f>ValidatePhysicists(BrachyTxs[[#This Row],[Physicist(s)]])</f>
        <v>1</v>
      </c>
      <c r="Q155" t="b">
        <f>ValidateMDs(BrachyTxs[[#This Row],[MD(s)]])</f>
        <v>1</v>
      </c>
      <c r="S155" s="3"/>
    </row>
    <row r="156" spans="1:19" x14ac:dyDescent="0.25">
      <c r="A156" t="s">
        <v>325</v>
      </c>
      <c r="B156" s="1">
        <v>40421</v>
      </c>
      <c r="C156" s="2" t="s">
        <v>177</v>
      </c>
      <c r="D156" s="3"/>
      <c r="E156" s="3"/>
      <c r="F156">
        <f>IF(ISNUMBER(SEARCH("BB",BrachyTxs[[#This Row],[Physicist(s)]])),1,0)</f>
        <v>0</v>
      </c>
      <c r="G156" s="3">
        <f>IF(ISNUMBER(SEARCH("DZ",BrachyTxs[[#This Row],[Physicist(s)]])),1,0)</f>
        <v>0</v>
      </c>
      <c r="H156" s="3">
        <f>IF(ISNUMBER(SEARCH("ZC",BrachyTxs[[#This Row],[Physicist(s)]])),1,0)</f>
        <v>0</v>
      </c>
      <c r="I156" s="3">
        <f>IF(ISNUMBER(SEARCH("DJ",BrachyTxs[[#This Row],[MD(s)]])),1,0)</f>
        <v>0</v>
      </c>
      <c r="J156" s="3">
        <f>IF(ISNUMBER(SEARCH("JS",BrachyTxs[[#This Row],[MD(s)]])),1,0)</f>
        <v>0</v>
      </c>
      <c r="K156" s="3"/>
      <c r="L156" s="3"/>
      <c r="M156" s="3"/>
      <c r="N156" s="3"/>
      <c r="O156" t="b">
        <f>ValidatePatient(BrachyTxs[[#This Row],[Pt]])</f>
        <v>1</v>
      </c>
      <c r="P156" t="b">
        <f>ValidatePhysicists(BrachyTxs[[#This Row],[Physicist(s)]])</f>
        <v>1</v>
      </c>
      <c r="Q156" t="b">
        <f>ValidateMDs(BrachyTxs[[#This Row],[MD(s)]])</f>
        <v>1</v>
      </c>
      <c r="S156" s="3"/>
    </row>
    <row r="157" spans="1:19" x14ac:dyDescent="0.25">
      <c r="A157" t="s">
        <v>323</v>
      </c>
      <c r="B157" s="1">
        <v>40423</v>
      </c>
      <c r="C157" s="2" t="s">
        <v>279</v>
      </c>
      <c r="D157" s="3"/>
      <c r="E157" s="3"/>
      <c r="F157">
        <f>IF(ISNUMBER(SEARCH("BB",BrachyTxs[[#This Row],[Physicist(s)]])),1,0)</f>
        <v>0</v>
      </c>
      <c r="G157" s="3">
        <f>IF(ISNUMBER(SEARCH("DZ",BrachyTxs[[#This Row],[Physicist(s)]])),1,0)</f>
        <v>0</v>
      </c>
      <c r="H157" s="3">
        <f>IF(ISNUMBER(SEARCH("ZC",BrachyTxs[[#This Row],[Physicist(s)]])),1,0)</f>
        <v>0</v>
      </c>
      <c r="I157" s="3">
        <f>IF(ISNUMBER(SEARCH("DJ",BrachyTxs[[#This Row],[MD(s)]])),1,0)</f>
        <v>0</v>
      </c>
      <c r="J157" s="3">
        <f>IF(ISNUMBER(SEARCH("JS",BrachyTxs[[#This Row],[MD(s)]])),1,0)</f>
        <v>0</v>
      </c>
      <c r="K157" s="3"/>
      <c r="L157" s="3"/>
      <c r="M157" s="3"/>
      <c r="N157" s="3"/>
      <c r="O157" t="b">
        <f>ValidatePatient(BrachyTxs[[#This Row],[Pt]])</f>
        <v>1</v>
      </c>
      <c r="P157" t="b">
        <f>ValidatePhysicists(BrachyTxs[[#This Row],[Physicist(s)]])</f>
        <v>1</v>
      </c>
      <c r="Q157" t="b">
        <f>ValidateMDs(BrachyTxs[[#This Row],[MD(s)]])</f>
        <v>1</v>
      </c>
      <c r="S157" s="3"/>
    </row>
    <row r="158" spans="1:19" x14ac:dyDescent="0.25">
      <c r="A158" t="s">
        <v>323</v>
      </c>
      <c r="B158" s="1">
        <v>40452</v>
      </c>
      <c r="C158" s="2" t="s">
        <v>173</v>
      </c>
      <c r="D158" s="3"/>
      <c r="E158" s="3"/>
      <c r="F158">
        <f>IF(ISNUMBER(SEARCH("BB",BrachyTxs[[#This Row],[Physicist(s)]])),1,0)</f>
        <v>0</v>
      </c>
      <c r="G158" s="3">
        <f>IF(ISNUMBER(SEARCH("DZ",BrachyTxs[[#This Row],[Physicist(s)]])),1,0)</f>
        <v>0</v>
      </c>
      <c r="H158" s="3">
        <f>IF(ISNUMBER(SEARCH("ZC",BrachyTxs[[#This Row],[Physicist(s)]])),1,0)</f>
        <v>0</v>
      </c>
      <c r="I158" s="3">
        <f>IF(ISNUMBER(SEARCH("DJ",BrachyTxs[[#This Row],[MD(s)]])),1,0)</f>
        <v>0</v>
      </c>
      <c r="J158" s="3">
        <f>IF(ISNUMBER(SEARCH("JS",BrachyTxs[[#This Row],[MD(s)]])),1,0)</f>
        <v>0</v>
      </c>
      <c r="K158" s="3"/>
      <c r="L158" s="3"/>
      <c r="M158" s="3"/>
      <c r="N158" s="3"/>
      <c r="O158" t="b">
        <f>ValidatePatient(BrachyTxs[[#This Row],[Pt]])</f>
        <v>1</v>
      </c>
      <c r="P158" t="b">
        <f>ValidatePhysicists(BrachyTxs[[#This Row],[Physicist(s)]])</f>
        <v>1</v>
      </c>
      <c r="Q158" t="b">
        <f>ValidateMDs(BrachyTxs[[#This Row],[MD(s)]])</f>
        <v>1</v>
      </c>
      <c r="S158" s="3"/>
    </row>
    <row r="159" spans="1:19" x14ac:dyDescent="0.25">
      <c r="A159" t="s">
        <v>325</v>
      </c>
      <c r="B159" s="1">
        <v>40469</v>
      </c>
      <c r="C159" s="2" t="s">
        <v>44</v>
      </c>
      <c r="D159" s="3"/>
      <c r="E159" s="3"/>
      <c r="F159">
        <f>IF(ISNUMBER(SEARCH("BB",BrachyTxs[[#This Row],[Physicist(s)]])),1,0)</f>
        <v>0</v>
      </c>
      <c r="G159" s="3">
        <f>IF(ISNUMBER(SEARCH("DZ",BrachyTxs[[#This Row],[Physicist(s)]])),1,0)</f>
        <v>0</v>
      </c>
      <c r="H159" s="3">
        <f>IF(ISNUMBER(SEARCH("ZC",BrachyTxs[[#This Row],[Physicist(s)]])),1,0)</f>
        <v>0</v>
      </c>
      <c r="I159" s="3">
        <f>IF(ISNUMBER(SEARCH("DJ",BrachyTxs[[#This Row],[MD(s)]])),1,0)</f>
        <v>0</v>
      </c>
      <c r="J159" s="3">
        <f>IF(ISNUMBER(SEARCH("JS",BrachyTxs[[#This Row],[MD(s)]])),1,0)</f>
        <v>0</v>
      </c>
      <c r="K159" s="3"/>
      <c r="L159" s="3"/>
      <c r="M159" s="3"/>
      <c r="N159" s="3"/>
      <c r="O159" t="b">
        <f>ValidatePatient(BrachyTxs[[#This Row],[Pt]])</f>
        <v>1</v>
      </c>
      <c r="P159" t="b">
        <f>ValidatePhysicists(BrachyTxs[[#This Row],[Physicist(s)]])</f>
        <v>1</v>
      </c>
      <c r="Q159" t="b">
        <f>ValidateMDs(BrachyTxs[[#This Row],[MD(s)]])</f>
        <v>1</v>
      </c>
      <c r="S159" s="3"/>
    </row>
    <row r="160" spans="1:19" x14ac:dyDescent="0.25">
      <c r="A160" t="s">
        <v>325</v>
      </c>
      <c r="B160" s="1">
        <v>40477</v>
      </c>
      <c r="C160" s="2" t="s">
        <v>268</v>
      </c>
      <c r="D160" s="3"/>
      <c r="E160" s="3"/>
      <c r="F160">
        <f>IF(ISNUMBER(SEARCH("BB",BrachyTxs[[#This Row],[Physicist(s)]])),1,0)</f>
        <v>0</v>
      </c>
      <c r="G160" s="3">
        <f>IF(ISNUMBER(SEARCH("DZ",BrachyTxs[[#This Row],[Physicist(s)]])),1,0)</f>
        <v>0</v>
      </c>
      <c r="H160" s="3">
        <f>IF(ISNUMBER(SEARCH("ZC",BrachyTxs[[#This Row],[Physicist(s)]])),1,0)</f>
        <v>0</v>
      </c>
      <c r="I160" s="3">
        <f>IF(ISNUMBER(SEARCH("DJ",BrachyTxs[[#This Row],[MD(s)]])),1,0)</f>
        <v>0</v>
      </c>
      <c r="J160" s="3">
        <f>IF(ISNUMBER(SEARCH("JS",BrachyTxs[[#This Row],[MD(s)]])),1,0)</f>
        <v>0</v>
      </c>
      <c r="K160" s="3"/>
      <c r="L160" s="3"/>
      <c r="M160" s="3"/>
      <c r="N160" s="3"/>
      <c r="O160" t="b">
        <f>ValidatePatient(BrachyTxs[[#This Row],[Pt]])</f>
        <v>1</v>
      </c>
      <c r="P160" t="b">
        <f>ValidatePhysicists(BrachyTxs[[#This Row],[Physicist(s)]])</f>
        <v>1</v>
      </c>
      <c r="Q160" t="b">
        <f>ValidateMDs(BrachyTxs[[#This Row],[MD(s)]])</f>
        <v>1</v>
      </c>
      <c r="S160" s="3"/>
    </row>
    <row r="161" spans="1:19" x14ac:dyDescent="0.25">
      <c r="A161" t="s">
        <v>323</v>
      </c>
      <c r="B161" s="1">
        <v>40492</v>
      </c>
      <c r="C161" s="2" t="s">
        <v>163</v>
      </c>
      <c r="D161" s="3"/>
      <c r="E161" s="3"/>
      <c r="F161">
        <f>IF(ISNUMBER(SEARCH("BB",BrachyTxs[[#This Row],[Physicist(s)]])),1,0)</f>
        <v>0</v>
      </c>
      <c r="G161" s="3">
        <f>IF(ISNUMBER(SEARCH("DZ",BrachyTxs[[#This Row],[Physicist(s)]])),1,0)</f>
        <v>0</v>
      </c>
      <c r="H161" s="3">
        <f>IF(ISNUMBER(SEARCH("ZC",BrachyTxs[[#This Row],[Physicist(s)]])),1,0)</f>
        <v>0</v>
      </c>
      <c r="I161" s="3">
        <f>IF(ISNUMBER(SEARCH("DJ",BrachyTxs[[#This Row],[MD(s)]])),1,0)</f>
        <v>0</v>
      </c>
      <c r="J161" s="3">
        <f>IF(ISNUMBER(SEARCH("JS",BrachyTxs[[#This Row],[MD(s)]])),1,0)</f>
        <v>0</v>
      </c>
      <c r="K161" s="3"/>
      <c r="L161" s="3"/>
      <c r="M161" s="3"/>
      <c r="N161" s="3"/>
      <c r="O161" t="b">
        <f>ValidatePatient(BrachyTxs[[#This Row],[Pt]])</f>
        <v>1</v>
      </c>
      <c r="P161" t="b">
        <f>ValidatePhysicists(BrachyTxs[[#This Row],[Physicist(s)]])</f>
        <v>1</v>
      </c>
      <c r="Q161" t="b">
        <f>ValidateMDs(BrachyTxs[[#This Row],[MD(s)]])</f>
        <v>1</v>
      </c>
      <c r="S161" s="3"/>
    </row>
    <row r="162" spans="1:19" x14ac:dyDescent="0.25">
      <c r="A162" t="s">
        <v>323</v>
      </c>
      <c r="B162" s="1">
        <v>40497</v>
      </c>
      <c r="C162" s="2" t="s">
        <v>172</v>
      </c>
      <c r="D162" s="3"/>
      <c r="E162" s="3"/>
      <c r="F162">
        <f>IF(ISNUMBER(SEARCH("BB",BrachyTxs[[#This Row],[Physicist(s)]])),1,0)</f>
        <v>0</v>
      </c>
      <c r="G162" s="3">
        <f>IF(ISNUMBER(SEARCH("DZ",BrachyTxs[[#This Row],[Physicist(s)]])),1,0)</f>
        <v>0</v>
      </c>
      <c r="H162" s="3">
        <f>IF(ISNUMBER(SEARCH("ZC",BrachyTxs[[#This Row],[Physicist(s)]])),1,0)</f>
        <v>0</v>
      </c>
      <c r="I162" s="3">
        <f>IF(ISNUMBER(SEARCH("DJ",BrachyTxs[[#This Row],[MD(s)]])),1,0)</f>
        <v>0</v>
      </c>
      <c r="J162" s="3">
        <f>IF(ISNUMBER(SEARCH("JS",BrachyTxs[[#This Row],[MD(s)]])),1,0)</f>
        <v>0</v>
      </c>
      <c r="K162" s="3"/>
      <c r="L162" s="3"/>
      <c r="M162" s="3"/>
      <c r="N162" s="3"/>
      <c r="O162" t="b">
        <f>ValidatePatient(BrachyTxs[[#This Row],[Pt]])</f>
        <v>1</v>
      </c>
      <c r="P162" t="b">
        <f>ValidatePhysicists(BrachyTxs[[#This Row],[Physicist(s)]])</f>
        <v>1</v>
      </c>
      <c r="Q162" t="b">
        <f>ValidateMDs(BrachyTxs[[#This Row],[MD(s)]])</f>
        <v>1</v>
      </c>
      <c r="S162" s="3"/>
    </row>
    <row r="163" spans="1:19" x14ac:dyDescent="0.25">
      <c r="A163" t="s">
        <v>323</v>
      </c>
      <c r="B163" s="1">
        <v>40521</v>
      </c>
      <c r="C163" s="2" t="s">
        <v>203</v>
      </c>
      <c r="D163" s="3"/>
      <c r="E163" s="3"/>
      <c r="F163">
        <f>IF(ISNUMBER(SEARCH("BB",BrachyTxs[[#This Row],[Physicist(s)]])),1,0)</f>
        <v>0</v>
      </c>
      <c r="G163" s="3">
        <f>IF(ISNUMBER(SEARCH("DZ",BrachyTxs[[#This Row],[Physicist(s)]])),1,0)</f>
        <v>0</v>
      </c>
      <c r="H163" s="3">
        <f>IF(ISNUMBER(SEARCH("ZC",BrachyTxs[[#This Row],[Physicist(s)]])),1,0)</f>
        <v>0</v>
      </c>
      <c r="I163" s="3">
        <f>IF(ISNUMBER(SEARCH("DJ",BrachyTxs[[#This Row],[MD(s)]])),1,0)</f>
        <v>0</v>
      </c>
      <c r="J163" s="3">
        <f>IF(ISNUMBER(SEARCH("JS",BrachyTxs[[#This Row],[MD(s)]])),1,0)</f>
        <v>0</v>
      </c>
      <c r="K163" s="3"/>
      <c r="L163" s="3"/>
      <c r="M163" s="3"/>
      <c r="N163" s="3"/>
      <c r="O163" t="b">
        <f>ValidatePatient(BrachyTxs[[#This Row],[Pt]])</f>
        <v>1</v>
      </c>
      <c r="P163" t="b">
        <f>ValidatePhysicists(BrachyTxs[[#This Row],[Physicist(s)]])</f>
        <v>1</v>
      </c>
      <c r="Q163" t="b">
        <f>ValidateMDs(BrachyTxs[[#This Row],[MD(s)]])</f>
        <v>1</v>
      </c>
      <c r="S163" s="3"/>
    </row>
    <row r="164" spans="1:19" x14ac:dyDescent="0.25">
      <c r="A164" t="s">
        <v>323</v>
      </c>
      <c r="B164" s="1">
        <v>40532</v>
      </c>
      <c r="C164" s="2" t="s">
        <v>104</v>
      </c>
      <c r="D164" s="3"/>
      <c r="E164" s="3"/>
      <c r="F164">
        <f>IF(ISNUMBER(SEARCH("BB",BrachyTxs[[#This Row],[Physicist(s)]])),1,0)</f>
        <v>0</v>
      </c>
      <c r="G164" s="3">
        <f>IF(ISNUMBER(SEARCH("DZ",BrachyTxs[[#This Row],[Physicist(s)]])),1,0)</f>
        <v>0</v>
      </c>
      <c r="H164" s="3">
        <f>IF(ISNUMBER(SEARCH("ZC",BrachyTxs[[#This Row],[Physicist(s)]])),1,0)</f>
        <v>0</v>
      </c>
      <c r="I164" s="3">
        <f>IF(ISNUMBER(SEARCH("DJ",BrachyTxs[[#This Row],[MD(s)]])),1,0)</f>
        <v>0</v>
      </c>
      <c r="J164" s="3">
        <f>IF(ISNUMBER(SEARCH("JS",BrachyTxs[[#This Row],[MD(s)]])),1,0)</f>
        <v>0</v>
      </c>
      <c r="K164" s="3"/>
      <c r="L164" s="3"/>
      <c r="M164" s="3"/>
      <c r="N164" s="3"/>
      <c r="O164" t="b">
        <f>ValidatePatient(BrachyTxs[[#This Row],[Pt]])</f>
        <v>1</v>
      </c>
      <c r="P164" t="b">
        <f>ValidatePhysicists(BrachyTxs[[#This Row],[Physicist(s)]])</f>
        <v>1</v>
      </c>
      <c r="Q164" t="b">
        <f>ValidateMDs(BrachyTxs[[#This Row],[MD(s)]])</f>
        <v>1</v>
      </c>
      <c r="S164" s="3"/>
    </row>
    <row r="165" spans="1:19" x14ac:dyDescent="0.25">
      <c r="A165" t="s">
        <v>323</v>
      </c>
      <c r="B165" s="1">
        <v>40547</v>
      </c>
      <c r="C165" s="2" t="s">
        <v>94</v>
      </c>
      <c r="D165" s="3"/>
      <c r="E165" s="3"/>
      <c r="F165">
        <f>IF(ISNUMBER(SEARCH("BB",BrachyTxs[[#This Row],[Physicist(s)]])),1,0)</f>
        <v>0</v>
      </c>
      <c r="G165" s="3">
        <f>IF(ISNUMBER(SEARCH("DZ",BrachyTxs[[#This Row],[Physicist(s)]])),1,0)</f>
        <v>0</v>
      </c>
      <c r="H165" s="3">
        <f>IF(ISNUMBER(SEARCH("ZC",BrachyTxs[[#This Row],[Physicist(s)]])),1,0)</f>
        <v>0</v>
      </c>
      <c r="I165" s="3">
        <f>IF(ISNUMBER(SEARCH("DJ",BrachyTxs[[#This Row],[MD(s)]])),1,0)</f>
        <v>0</v>
      </c>
      <c r="J165" s="3">
        <f>IF(ISNUMBER(SEARCH("JS",BrachyTxs[[#This Row],[MD(s)]])),1,0)</f>
        <v>0</v>
      </c>
      <c r="K165" s="3"/>
      <c r="L165" s="3"/>
      <c r="M165" s="3"/>
      <c r="N165" s="3"/>
      <c r="O165" t="b">
        <f>ValidatePatient(BrachyTxs[[#This Row],[Pt]])</f>
        <v>1</v>
      </c>
      <c r="P165" t="b">
        <f>ValidatePhysicists(BrachyTxs[[#This Row],[Physicist(s)]])</f>
        <v>1</v>
      </c>
      <c r="Q165" t="b">
        <f>ValidateMDs(BrachyTxs[[#This Row],[MD(s)]])</f>
        <v>1</v>
      </c>
      <c r="S165" s="3"/>
    </row>
    <row r="166" spans="1:19" x14ac:dyDescent="0.25">
      <c r="A166" t="s">
        <v>323</v>
      </c>
      <c r="B166" s="1">
        <v>40548</v>
      </c>
      <c r="C166" s="2" t="s">
        <v>39</v>
      </c>
      <c r="D166" s="3"/>
      <c r="E166" s="3"/>
      <c r="F166">
        <f>IF(ISNUMBER(SEARCH("BB",BrachyTxs[[#This Row],[Physicist(s)]])),1,0)</f>
        <v>0</v>
      </c>
      <c r="G166" s="3">
        <f>IF(ISNUMBER(SEARCH("DZ",BrachyTxs[[#This Row],[Physicist(s)]])),1,0)</f>
        <v>0</v>
      </c>
      <c r="H166" s="3">
        <f>IF(ISNUMBER(SEARCH("ZC",BrachyTxs[[#This Row],[Physicist(s)]])),1,0)</f>
        <v>0</v>
      </c>
      <c r="I166" s="3">
        <f>IF(ISNUMBER(SEARCH("DJ",BrachyTxs[[#This Row],[MD(s)]])),1,0)</f>
        <v>0</v>
      </c>
      <c r="J166" s="3">
        <f>IF(ISNUMBER(SEARCH("JS",BrachyTxs[[#This Row],[MD(s)]])),1,0)</f>
        <v>0</v>
      </c>
      <c r="K166" s="3"/>
      <c r="L166" s="3"/>
      <c r="M166" s="3"/>
      <c r="N166" s="3"/>
      <c r="O166" t="b">
        <f>ValidatePatient(BrachyTxs[[#This Row],[Pt]])</f>
        <v>1</v>
      </c>
      <c r="P166" t="b">
        <f>ValidatePhysicists(BrachyTxs[[#This Row],[Physicist(s)]])</f>
        <v>1</v>
      </c>
      <c r="Q166" t="b">
        <f>ValidateMDs(BrachyTxs[[#This Row],[MD(s)]])</f>
        <v>1</v>
      </c>
      <c r="S166" s="3"/>
    </row>
    <row r="167" spans="1:19" x14ac:dyDescent="0.25">
      <c r="A167" t="s">
        <v>324</v>
      </c>
      <c r="B167" s="1">
        <v>40556</v>
      </c>
      <c r="C167" s="2" t="s">
        <v>327</v>
      </c>
      <c r="D167" s="3"/>
      <c r="E167" s="3"/>
      <c r="F167">
        <f>IF(ISNUMBER(SEARCH("BB",BrachyTxs[[#This Row],[Physicist(s)]])),1,0)</f>
        <v>0</v>
      </c>
      <c r="G167" s="3">
        <f>IF(ISNUMBER(SEARCH("DZ",BrachyTxs[[#This Row],[Physicist(s)]])),1,0)</f>
        <v>0</v>
      </c>
      <c r="H167" s="3">
        <f>IF(ISNUMBER(SEARCH("ZC",BrachyTxs[[#This Row],[Physicist(s)]])),1,0)</f>
        <v>0</v>
      </c>
      <c r="I167" s="3">
        <f>IF(ISNUMBER(SEARCH("DJ",BrachyTxs[[#This Row],[MD(s)]])),1,0)</f>
        <v>0</v>
      </c>
      <c r="J167" s="3">
        <f>IF(ISNUMBER(SEARCH("JS",BrachyTxs[[#This Row],[MD(s)]])),1,0)</f>
        <v>0</v>
      </c>
      <c r="K167" s="3"/>
      <c r="L167" s="3"/>
      <c r="M167" s="3"/>
      <c r="N167" s="3"/>
      <c r="O167" t="b">
        <f>ValidatePatient(BrachyTxs[[#This Row],[Pt]])</f>
        <v>1</v>
      </c>
      <c r="P167" t="b">
        <f>ValidatePhysicists(BrachyTxs[[#This Row],[Physicist(s)]])</f>
        <v>1</v>
      </c>
      <c r="Q167" t="b">
        <f>ValidateMDs(BrachyTxs[[#This Row],[MD(s)]])</f>
        <v>1</v>
      </c>
      <c r="S167" s="3"/>
    </row>
    <row r="168" spans="1:19" x14ac:dyDescent="0.25">
      <c r="A168" t="s">
        <v>324</v>
      </c>
      <c r="B168" s="1">
        <v>40561</v>
      </c>
      <c r="C168" s="2" t="s">
        <v>389</v>
      </c>
      <c r="D168" s="3"/>
      <c r="E168" s="3"/>
      <c r="F168">
        <f>IF(ISNUMBER(SEARCH("BB",BrachyTxs[[#This Row],[Physicist(s)]])),1,0)</f>
        <v>0</v>
      </c>
      <c r="G168" s="3">
        <f>IF(ISNUMBER(SEARCH("DZ",BrachyTxs[[#This Row],[Physicist(s)]])),1,0)</f>
        <v>0</v>
      </c>
      <c r="H168" s="3">
        <f>IF(ISNUMBER(SEARCH("ZC",BrachyTxs[[#This Row],[Physicist(s)]])),1,0)</f>
        <v>0</v>
      </c>
      <c r="I168" s="3">
        <f>IF(ISNUMBER(SEARCH("DJ",BrachyTxs[[#This Row],[MD(s)]])),1,0)</f>
        <v>0</v>
      </c>
      <c r="J168" s="3">
        <f>IF(ISNUMBER(SEARCH("JS",BrachyTxs[[#This Row],[MD(s)]])),1,0)</f>
        <v>0</v>
      </c>
      <c r="K168" s="3"/>
      <c r="L168" s="3"/>
      <c r="M168" s="3"/>
      <c r="N168" s="3"/>
      <c r="O168" t="b">
        <f>ValidatePatient(BrachyTxs[[#This Row],[Pt]])</f>
        <v>0</v>
      </c>
      <c r="P168" t="b">
        <f>ValidatePhysicists(BrachyTxs[[#This Row],[Physicist(s)]])</f>
        <v>1</v>
      </c>
      <c r="Q168" t="b">
        <f>ValidateMDs(BrachyTxs[[#This Row],[MD(s)]])</f>
        <v>1</v>
      </c>
      <c r="S168" s="3"/>
    </row>
    <row r="169" spans="1:19" x14ac:dyDescent="0.25">
      <c r="A169" t="s">
        <v>324</v>
      </c>
      <c r="B169" s="1">
        <v>40570</v>
      </c>
      <c r="C169" s="2" t="s">
        <v>327</v>
      </c>
      <c r="D169" s="3"/>
      <c r="E169" s="3"/>
      <c r="F169">
        <f>IF(ISNUMBER(SEARCH("BB",BrachyTxs[[#This Row],[Physicist(s)]])),1,0)</f>
        <v>0</v>
      </c>
      <c r="G169" s="3">
        <f>IF(ISNUMBER(SEARCH("DZ",BrachyTxs[[#This Row],[Physicist(s)]])),1,0)</f>
        <v>0</v>
      </c>
      <c r="H169" s="3">
        <f>IF(ISNUMBER(SEARCH("ZC",BrachyTxs[[#This Row],[Physicist(s)]])),1,0)</f>
        <v>0</v>
      </c>
      <c r="I169" s="3">
        <f>IF(ISNUMBER(SEARCH("DJ",BrachyTxs[[#This Row],[MD(s)]])),1,0)</f>
        <v>0</v>
      </c>
      <c r="J169" s="3">
        <f>IF(ISNUMBER(SEARCH("JS",BrachyTxs[[#This Row],[MD(s)]])),1,0)</f>
        <v>0</v>
      </c>
      <c r="K169" s="3"/>
      <c r="L169" s="3"/>
      <c r="M169" s="3"/>
      <c r="N169" s="3"/>
      <c r="O169" t="b">
        <f>ValidatePatient(BrachyTxs[[#This Row],[Pt]])</f>
        <v>1</v>
      </c>
      <c r="P169" t="b">
        <f>ValidatePhysicists(BrachyTxs[[#This Row],[Physicist(s)]])</f>
        <v>1</v>
      </c>
      <c r="Q169" t="b">
        <f>ValidateMDs(BrachyTxs[[#This Row],[MD(s)]])</f>
        <v>1</v>
      </c>
      <c r="S169" s="3"/>
    </row>
    <row r="170" spans="1:19" x14ac:dyDescent="0.25">
      <c r="A170" t="s">
        <v>323</v>
      </c>
      <c r="B170" s="1">
        <v>40583</v>
      </c>
      <c r="C170" s="2" t="s">
        <v>248</v>
      </c>
      <c r="D170" s="3"/>
      <c r="E170" s="3"/>
      <c r="F170">
        <f>IF(ISNUMBER(SEARCH("BB",BrachyTxs[[#This Row],[Physicist(s)]])),1,0)</f>
        <v>0</v>
      </c>
      <c r="G170" s="3">
        <f>IF(ISNUMBER(SEARCH("DZ",BrachyTxs[[#This Row],[Physicist(s)]])),1,0)</f>
        <v>0</v>
      </c>
      <c r="H170" s="3">
        <f>IF(ISNUMBER(SEARCH("ZC",BrachyTxs[[#This Row],[Physicist(s)]])),1,0)</f>
        <v>0</v>
      </c>
      <c r="I170" s="3">
        <f>IF(ISNUMBER(SEARCH("DJ",BrachyTxs[[#This Row],[MD(s)]])),1,0)</f>
        <v>0</v>
      </c>
      <c r="J170" s="3">
        <f>IF(ISNUMBER(SEARCH("JS",BrachyTxs[[#This Row],[MD(s)]])),1,0)</f>
        <v>0</v>
      </c>
      <c r="K170" s="3"/>
      <c r="L170" s="3"/>
      <c r="M170" s="3"/>
      <c r="N170" s="3"/>
      <c r="O170" t="b">
        <f>ValidatePatient(BrachyTxs[[#This Row],[Pt]])</f>
        <v>1</v>
      </c>
      <c r="P170" t="b">
        <f>ValidatePhysicists(BrachyTxs[[#This Row],[Physicist(s)]])</f>
        <v>1</v>
      </c>
      <c r="Q170" t="b">
        <f>ValidateMDs(BrachyTxs[[#This Row],[MD(s)]])</f>
        <v>1</v>
      </c>
      <c r="S170" s="3"/>
    </row>
    <row r="171" spans="1:19" x14ac:dyDescent="0.25">
      <c r="A171" t="s">
        <v>323</v>
      </c>
      <c r="B171" s="1">
        <v>40592</v>
      </c>
      <c r="C171" s="2" t="s">
        <v>302</v>
      </c>
      <c r="D171" s="3"/>
      <c r="E171" s="3"/>
      <c r="F171">
        <f>IF(ISNUMBER(SEARCH("BB",BrachyTxs[[#This Row],[Physicist(s)]])),1,0)</f>
        <v>0</v>
      </c>
      <c r="G171" s="3">
        <f>IF(ISNUMBER(SEARCH("DZ",BrachyTxs[[#This Row],[Physicist(s)]])),1,0)</f>
        <v>0</v>
      </c>
      <c r="H171" s="3">
        <f>IF(ISNUMBER(SEARCH("ZC",BrachyTxs[[#This Row],[Physicist(s)]])),1,0)</f>
        <v>0</v>
      </c>
      <c r="I171" s="3">
        <f>IF(ISNUMBER(SEARCH("DJ",BrachyTxs[[#This Row],[MD(s)]])),1,0)</f>
        <v>0</v>
      </c>
      <c r="J171" s="3">
        <f>IF(ISNUMBER(SEARCH("JS",BrachyTxs[[#This Row],[MD(s)]])),1,0)</f>
        <v>0</v>
      </c>
      <c r="K171" s="3"/>
      <c r="L171" s="3"/>
      <c r="M171" s="3"/>
      <c r="N171" s="3"/>
      <c r="O171" t="b">
        <f>ValidatePatient(BrachyTxs[[#This Row],[Pt]])</f>
        <v>1</v>
      </c>
      <c r="P171" t="b">
        <f>ValidatePhysicists(BrachyTxs[[#This Row],[Physicist(s)]])</f>
        <v>1</v>
      </c>
      <c r="Q171" t="b">
        <f>ValidateMDs(BrachyTxs[[#This Row],[MD(s)]])</f>
        <v>1</v>
      </c>
      <c r="S171" s="3"/>
    </row>
    <row r="172" spans="1:19" x14ac:dyDescent="0.25">
      <c r="A172" t="s">
        <v>325</v>
      </c>
      <c r="B172" s="1">
        <v>40596</v>
      </c>
      <c r="C172" s="2" t="s">
        <v>227</v>
      </c>
      <c r="D172" s="3"/>
      <c r="E172" s="3"/>
      <c r="F172">
        <f>IF(ISNUMBER(SEARCH("BB",BrachyTxs[[#This Row],[Physicist(s)]])),1,0)</f>
        <v>0</v>
      </c>
      <c r="G172" s="3">
        <f>IF(ISNUMBER(SEARCH("DZ",BrachyTxs[[#This Row],[Physicist(s)]])),1,0)</f>
        <v>0</v>
      </c>
      <c r="H172" s="3">
        <f>IF(ISNUMBER(SEARCH("ZC",BrachyTxs[[#This Row],[Physicist(s)]])),1,0)</f>
        <v>0</v>
      </c>
      <c r="I172" s="3">
        <f>IF(ISNUMBER(SEARCH("DJ",BrachyTxs[[#This Row],[MD(s)]])),1,0)</f>
        <v>0</v>
      </c>
      <c r="J172" s="3">
        <f>IF(ISNUMBER(SEARCH("JS",BrachyTxs[[#This Row],[MD(s)]])),1,0)</f>
        <v>0</v>
      </c>
      <c r="K172" s="3"/>
      <c r="L172" s="3"/>
      <c r="M172" s="3"/>
      <c r="N172" s="3"/>
      <c r="O172" t="b">
        <f>ValidatePatient(BrachyTxs[[#This Row],[Pt]])</f>
        <v>1</v>
      </c>
      <c r="P172" t="b">
        <f>ValidatePhysicists(BrachyTxs[[#This Row],[Physicist(s)]])</f>
        <v>1</v>
      </c>
      <c r="Q172" t="b">
        <f>ValidateMDs(BrachyTxs[[#This Row],[MD(s)]])</f>
        <v>1</v>
      </c>
      <c r="S172" s="3"/>
    </row>
    <row r="173" spans="1:19" x14ac:dyDescent="0.25">
      <c r="A173" t="s">
        <v>325</v>
      </c>
      <c r="B173" s="1">
        <v>40596</v>
      </c>
      <c r="C173" s="2" t="s">
        <v>214</v>
      </c>
      <c r="D173" s="3"/>
      <c r="E173" s="3"/>
      <c r="F173">
        <f>IF(ISNUMBER(SEARCH("BB",BrachyTxs[[#This Row],[Physicist(s)]])),1,0)</f>
        <v>0</v>
      </c>
      <c r="G173" s="3">
        <f>IF(ISNUMBER(SEARCH("DZ",BrachyTxs[[#This Row],[Physicist(s)]])),1,0)</f>
        <v>0</v>
      </c>
      <c r="H173" s="3">
        <f>IF(ISNUMBER(SEARCH("ZC",BrachyTxs[[#This Row],[Physicist(s)]])),1,0)</f>
        <v>0</v>
      </c>
      <c r="I173" s="3">
        <f>IF(ISNUMBER(SEARCH("DJ",BrachyTxs[[#This Row],[MD(s)]])),1,0)</f>
        <v>0</v>
      </c>
      <c r="J173" s="3">
        <f>IF(ISNUMBER(SEARCH("JS",BrachyTxs[[#This Row],[MD(s)]])),1,0)</f>
        <v>0</v>
      </c>
      <c r="K173" s="3"/>
      <c r="L173" s="3"/>
      <c r="M173" s="3"/>
      <c r="N173" s="3"/>
      <c r="O173" t="b">
        <f>ValidatePatient(BrachyTxs[[#This Row],[Pt]])</f>
        <v>1</v>
      </c>
      <c r="P173" t="b">
        <f>ValidatePhysicists(BrachyTxs[[#This Row],[Physicist(s)]])</f>
        <v>1</v>
      </c>
      <c r="Q173" t="b">
        <f>ValidateMDs(BrachyTxs[[#This Row],[MD(s)]])</f>
        <v>1</v>
      </c>
      <c r="S173" s="3"/>
    </row>
    <row r="174" spans="1:19" x14ac:dyDescent="0.25">
      <c r="A174" t="s">
        <v>323</v>
      </c>
      <c r="B174" s="1">
        <v>40598</v>
      </c>
      <c r="C174" s="2" t="s">
        <v>122</v>
      </c>
      <c r="D174" s="3"/>
      <c r="E174" s="3"/>
      <c r="F174">
        <f>IF(ISNUMBER(SEARCH("BB",BrachyTxs[[#This Row],[Physicist(s)]])),1,0)</f>
        <v>0</v>
      </c>
      <c r="G174" s="3">
        <f>IF(ISNUMBER(SEARCH("DZ",BrachyTxs[[#This Row],[Physicist(s)]])),1,0)</f>
        <v>0</v>
      </c>
      <c r="H174" s="3">
        <f>IF(ISNUMBER(SEARCH("ZC",BrachyTxs[[#This Row],[Physicist(s)]])),1,0)</f>
        <v>0</v>
      </c>
      <c r="I174" s="3">
        <f>IF(ISNUMBER(SEARCH("DJ",BrachyTxs[[#This Row],[MD(s)]])),1,0)</f>
        <v>0</v>
      </c>
      <c r="J174" s="3">
        <f>IF(ISNUMBER(SEARCH("JS",BrachyTxs[[#This Row],[MD(s)]])),1,0)</f>
        <v>0</v>
      </c>
      <c r="K174" s="3"/>
      <c r="L174" s="3"/>
      <c r="M174" s="3"/>
      <c r="N174" s="3"/>
      <c r="O174" t="b">
        <f>ValidatePatient(BrachyTxs[[#This Row],[Pt]])</f>
        <v>1</v>
      </c>
      <c r="P174" t="b">
        <f>ValidatePhysicists(BrachyTxs[[#This Row],[Physicist(s)]])</f>
        <v>1</v>
      </c>
      <c r="Q174" t="b">
        <f>ValidateMDs(BrachyTxs[[#This Row],[MD(s)]])</f>
        <v>1</v>
      </c>
      <c r="S174" s="3"/>
    </row>
    <row r="175" spans="1:19" x14ac:dyDescent="0.25">
      <c r="A175" t="s">
        <v>324</v>
      </c>
      <c r="B175" s="1">
        <v>40602</v>
      </c>
      <c r="C175" s="2" t="s">
        <v>92</v>
      </c>
      <c r="D175" s="3"/>
      <c r="E175" s="3"/>
      <c r="F175">
        <f>IF(ISNUMBER(SEARCH("BB",BrachyTxs[[#This Row],[Physicist(s)]])),1,0)</f>
        <v>0</v>
      </c>
      <c r="G175" s="3">
        <f>IF(ISNUMBER(SEARCH("DZ",BrachyTxs[[#This Row],[Physicist(s)]])),1,0)</f>
        <v>0</v>
      </c>
      <c r="H175" s="3">
        <f>IF(ISNUMBER(SEARCH("ZC",BrachyTxs[[#This Row],[Physicist(s)]])),1,0)</f>
        <v>0</v>
      </c>
      <c r="I175" s="3">
        <f>IF(ISNUMBER(SEARCH("DJ",BrachyTxs[[#This Row],[MD(s)]])),1,0)</f>
        <v>0</v>
      </c>
      <c r="J175" s="3">
        <f>IF(ISNUMBER(SEARCH("JS",BrachyTxs[[#This Row],[MD(s)]])),1,0)</f>
        <v>0</v>
      </c>
      <c r="K175" s="3"/>
      <c r="L175" s="3"/>
      <c r="M175" s="3"/>
      <c r="N175" s="3"/>
      <c r="O175" t="b">
        <f>ValidatePatient(BrachyTxs[[#This Row],[Pt]])</f>
        <v>1</v>
      </c>
      <c r="P175" t="b">
        <f>ValidatePhysicists(BrachyTxs[[#This Row],[Physicist(s)]])</f>
        <v>1</v>
      </c>
      <c r="Q175" t="b">
        <f>ValidateMDs(BrachyTxs[[#This Row],[MD(s)]])</f>
        <v>1</v>
      </c>
      <c r="S175" s="3"/>
    </row>
    <row r="176" spans="1:19" x14ac:dyDescent="0.25">
      <c r="A176" t="s">
        <v>325</v>
      </c>
      <c r="B176" s="1">
        <v>40620</v>
      </c>
      <c r="C176" s="2" t="s">
        <v>252</v>
      </c>
      <c r="D176" s="3"/>
      <c r="E176" s="3"/>
      <c r="F176">
        <f>IF(ISNUMBER(SEARCH("BB",BrachyTxs[[#This Row],[Physicist(s)]])),1,0)</f>
        <v>0</v>
      </c>
      <c r="G176" s="3">
        <f>IF(ISNUMBER(SEARCH("DZ",BrachyTxs[[#This Row],[Physicist(s)]])),1,0)</f>
        <v>0</v>
      </c>
      <c r="H176" s="3">
        <f>IF(ISNUMBER(SEARCH("ZC",BrachyTxs[[#This Row],[Physicist(s)]])),1,0)</f>
        <v>0</v>
      </c>
      <c r="I176" s="3">
        <f>IF(ISNUMBER(SEARCH("DJ",BrachyTxs[[#This Row],[MD(s)]])),1,0)</f>
        <v>0</v>
      </c>
      <c r="J176" s="3">
        <f>IF(ISNUMBER(SEARCH("JS",BrachyTxs[[#This Row],[MD(s)]])),1,0)</f>
        <v>0</v>
      </c>
      <c r="K176" s="3"/>
      <c r="L176" s="3"/>
      <c r="M176" s="3"/>
      <c r="N176" s="3"/>
      <c r="O176" t="b">
        <f>ValidatePatient(BrachyTxs[[#This Row],[Pt]])</f>
        <v>1</v>
      </c>
      <c r="P176" t="b">
        <f>ValidatePhysicists(BrachyTxs[[#This Row],[Physicist(s)]])</f>
        <v>1</v>
      </c>
      <c r="Q176" t="b">
        <f>ValidateMDs(BrachyTxs[[#This Row],[MD(s)]])</f>
        <v>1</v>
      </c>
      <c r="S176" s="3"/>
    </row>
    <row r="177" spans="1:19" x14ac:dyDescent="0.25">
      <c r="A177" t="s">
        <v>323</v>
      </c>
      <c r="B177" s="1">
        <v>40625</v>
      </c>
      <c r="C177" s="2" t="s">
        <v>72</v>
      </c>
      <c r="D177" s="3"/>
      <c r="E177" s="3"/>
      <c r="F177">
        <f>IF(ISNUMBER(SEARCH("BB",BrachyTxs[[#This Row],[Physicist(s)]])),1,0)</f>
        <v>0</v>
      </c>
      <c r="G177" s="3">
        <f>IF(ISNUMBER(SEARCH("DZ",BrachyTxs[[#This Row],[Physicist(s)]])),1,0)</f>
        <v>0</v>
      </c>
      <c r="H177" s="3">
        <f>IF(ISNUMBER(SEARCH("ZC",BrachyTxs[[#This Row],[Physicist(s)]])),1,0)</f>
        <v>0</v>
      </c>
      <c r="I177" s="3">
        <f>IF(ISNUMBER(SEARCH("DJ",BrachyTxs[[#This Row],[MD(s)]])),1,0)</f>
        <v>0</v>
      </c>
      <c r="J177" s="3">
        <f>IF(ISNUMBER(SEARCH("JS",BrachyTxs[[#This Row],[MD(s)]])),1,0)</f>
        <v>0</v>
      </c>
      <c r="K177" s="3"/>
      <c r="L177" s="3"/>
      <c r="M177" s="3"/>
      <c r="N177" s="3"/>
      <c r="O177" t="b">
        <f>ValidatePatient(BrachyTxs[[#This Row],[Pt]])</f>
        <v>1</v>
      </c>
      <c r="P177" t="b">
        <f>ValidatePhysicists(BrachyTxs[[#This Row],[Physicist(s)]])</f>
        <v>1</v>
      </c>
      <c r="Q177" t="b">
        <f>ValidateMDs(BrachyTxs[[#This Row],[MD(s)]])</f>
        <v>1</v>
      </c>
      <c r="S177" s="3"/>
    </row>
    <row r="178" spans="1:19" x14ac:dyDescent="0.25">
      <c r="A178" t="s">
        <v>323</v>
      </c>
      <c r="B178" s="1">
        <v>40631</v>
      </c>
      <c r="C178" s="2" t="s">
        <v>218</v>
      </c>
      <c r="D178" s="3"/>
      <c r="E178" s="3"/>
      <c r="F178">
        <f>IF(ISNUMBER(SEARCH("BB",BrachyTxs[[#This Row],[Physicist(s)]])),1,0)</f>
        <v>0</v>
      </c>
      <c r="G178" s="3">
        <f>IF(ISNUMBER(SEARCH("DZ",BrachyTxs[[#This Row],[Physicist(s)]])),1,0)</f>
        <v>0</v>
      </c>
      <c r="H178" s="3">
        <f>IF(ISNUMBER(SEARCH("ZC",BrachyTxs[[#This Row],[Physicist(s)]])),1,0)</f>
        <v>0</v>
      </c>
      <c r="I178" s="3">
        <f>IF(ISNUMBER(SEARCH("DJ",BrachyTxs[[#This Row],[MD(s)]])),1,0)</f>
        <v>0</v>
      </c>
      <c r="J178" s="3">
        <f>IF(ISNUMBER(SEARCH("JS",BrachyTxs[[#This Row],[MD(s)]])),1,0)</f>
        <v>0</v>
      </c>
      <c r="K178" s="3"/>
      <c r="L178" s="3"/>
      <c r="M178" s="3"/>
      <c r="N178" s="3"/>
      <c r="O178" t="b">
        <f>ValidatePatient(BrachyTxs[[#This Row],[Pt]])</f>
        <v>1</v>
      </c>
      <c r="P178" t="b">
        <f>ValidatePhysicists(BrachyTxs[[#This Row],[Physicist(s)]])</f>
        <v>1</v>
      </c>
      <c r="Q178" t="b">
        <f>ValidateMDs(BrachyTxs[[#This Row],[MD(s)]])</f>
        <v>1</v>
      </c>
      <c r="S178" s="3"/>
    </row>
    <row r="179" spans="1:19" x14ac:dyDescent="0.25">
      <c r="A179" t="s">
        <v>323</v>
      </c>
      <c r="B179" s="1">
        <v>40638</v>
      </c>
      <c r="C179" s="2" t="s">
        <v>300</v>
      </c>
      <c r="D179" s="3"/>
      <c r="E179" s="3"/>
      <c r="F179">
        <f>IF(ISNUMBER(SEARCH("BB",BrachyTxs[[#This Row],[Physicist(s)]])),1,0)</f>
        <v>0</v>
      </c>
      <c r="G179" s="3">
        <f>IF(ISNUMBER(SEARCH("DZ",BrachyTxs[[#This Row],[Physicist(s)]])),1,0)</f>
        <v>0</v>
      </c>
      <c r="H179" s="3">
        <f>IF(ISNUMBER(SEARCH("ZC",BrachyTxs[[#This Row],[Physicist(s)]])),1,0)</f>
        <v>0</v>
      </c>
      <c r="I179" s="3">
        <f>IF(ISNUMBER(SEARCH("DJ",BrachyTxs[[#This Row],[MD(s)]])),1,0)</f>
        <v>0</v>
      </c>
      <c r="J179" s="3">
        <f>IF(ISNUMBER(SEARCH("JS",BrachyTxs[[#This Row],[MD(s)]])),1,0)</f>
        <v>0</v>
      </c>
      <c r="K179" s="3"/>
      <c r="L179" s="3"/>
      <c r="M179" s="3"/>
      <c r="N179" s="3"/>
      <c r="O179" t="b">
        <f>ValidatePatient(BrachyTxs[[#This Row],[Pt]])</f>
        <v>1</v>
      </c>
      <c r="P179" t="b">
        <f>ValidatePhysicists(BrachyTxs[[#This Row],[Physicist(s)]])</f>
        <v>1</v>
      </c>
      <c r="Q179" t="b">
        <f>ValidateMDs(BrachyTxs[[#This Row],[MD(s)]])</f>
        <v>1</v>
      </c>
      <c r="S179" s="3"/>
    </row>
    <row r="180" spans="1:19" x14ac:dyDescent="0.25">
      <c r="A180" t="s">
        <v>323</v>
      </c>
      <c r="B180" s="1">
        <v>40661</v>
      </c>
      <c r="C180" s="2" t="s">
        <v>20</v>
      </c>
      <c r="D180" s="3"/>
      <c r="E180" s="3"/>
      <c r="F180">
        <f>IF(ISNUMBER(SEARCH("BB",BrachyTxs[[#This Row],[Physicist(s)]])),1,0)</f>
        <v>0</v>
      </c>
      <c r="G180" s="3">
        <f>IF(ISNUMBER(SEARCH("DZ",BrachyTxs[[#This Row],[Physicist(s)]])),1,0)</f>
        <v>0</v>
      </c>
      <c r="H180" s="3">
        <f>IF(ISNUMBER(SEARCH("ZC",BrachyTxs[[#This Row],[Physicist(s)]])),1,0)</f>
        <v>0</v>
      </c>
      <c r="I180" s="3">
        <f>IF(ISNUMBER(SEARCH("DJ",BrachyTxs[[#This Row],[MD(s)]])),1,0)</f>
        <v>0</v>
      </c>
      <c r="J180" s="3">
        <f>IF(ISNUMBER(SEARCH("JS",BrachyTxs[[#This Row],[MD(s)]])),1,0)</f>
        <v>0</v>
      </c>
      <c r="K180" s="3"/>
      <c r="L180" s="3"/>
      <c r="M180" s="3"/>
      <c r="N180" s="3"/>
      <c r="O180" t="b">
        <f>ValidatePatient(BrachyTxs[[#This Row],[Pt]])</f>
        <v>1</v>
      </c>
      <c r="P180" t="b">
        <f>ValidatePhysicists(BrachyTxs[[#This Row],[Physicist(s)]])</f>
        <v>1</v>
      </c>
      <c r="Q180" t="b">
        <f>ValidateMDs(BrachyTxs[[#This Row],[MD(s)]])</f>
        <v>1</v>
      </c>
      <c r="S180" s="3"/>
    </row>
    <row r="181" spans="1:19" x14ac:dyDescent="0.25">
      <c r="A181" t="s">
        <v>323</v>
      </c>
      <c r="B181" s="1">
        <v>40674</v>
      </c>
      <c r="C181" s="2" t="s">
        <v>253</v>
      </c>
      <c r="D181" s="3"/>
      <c r="E181" s="3"/>
      <c r="F181">
        <f>IF(ISNUMBER(SEARCH("BB",BrachyTxs[[#This Row],[Physicist(s)]])),1,0)</f>
        <v>0</v>
      </c>
      <c r="G181" s="3">
        <f>IF(ISNUMBER(SEARCH("DZ",BrachyTxs[[#This Row],[Physicist(s)]])),1,0)</f>
        <v>0</v>
      </c>
      <c r="H181" s="3">
        <f>IF(ISNUMBER(SEARCH("ZC",BrachyTxs[[#This Row],[Physicist(s)]])),1,0)</f>
        <v>0</v>
      </c>
      <c r="I181" s="3">
        <f>IF(ISNUMBER(SEARCH("DJ",BrachyTxs[[#This Row],[MD(s)]])),1,0)</f>
        <v>0</v>
      </c>
      <c r="J181" s="3">
        <f>IF(ISNUMBER(SEARCH("JS",BrachyTxs[[#This Row],[MD(s)]])),1,0)</f>
        <v>0</v>
      </c>
      <c r="K181" s="3"/>
      <c r="L181" s="3"/>
      <c r="M181" s="3"/>
      <c r="N181" s="3"/>
      <c r="O181" t="b">
        <f>ValidatePatient(BrachyTxs[[#This Row],[Pt]])</f>
        <v>1</v>
      </c>
      <c r="P181" t="b">
        <f>ValidatePhysicists(BrachyTxs[[#This Row],[Physicist(s)]])</f>
        <v>1</v>
      </c>
      <c r="Q181" t="b">
        <f>ValidateMDs(BrachyTxs[[#This Row],[MD(s)]])</f>
        <v>1</v>
      </c>
      <c r="S181" s="3"/>
    </row>
    <row r="182" spans="1:19" x14ac:dyDescent="0.25">
      <c r="A182" t="s">
        <v>325</v>
      </c>
      <c r="B182" s="1">
        <v>40711</v>
      </c>
      <c r="C182" s="2" t="s">
        <v>87</v>
      </c>
      <c r="D182" s="3"/>
      <c r="E182" s="3"/>
      <c r="F182">
        <f>IF(ISNUMBER(SEARCH("BB",BrachyTxs[[#This Row],[Physicist(s)]])),1,0)</f>
        <v>0</v>
      </c>
      <c r="G182" s="3">
        <f>IF(ISNUMBER(SEARCH("DZ",BrachyTxs[[#This Row],[Physicist(s)]])),1,0)</f>
        <v>0</v>
      </c>
      <c r="H182" s="3">
        <f>IF(ISNUMBER(SEARCH("ZC",BrachyTxs[[#This Row],[Physicist(s)]])),1,0)</f>
        <v>0</v>
      </c>
      <c r="I182" s="3">
        <f>IF(ISNUMBER(SEARCH("DJ",BrachyTxs[[#This Row],[MD(s)]])),1,0)</f>
        <v>0</v>
      </c>
      <c r="J182" s="3">
        <f>IF(ISNUMBER(SEARCH("JS",BrachyTxs[[#This Row],[MD(s)]])),1,0)</f>
        <v>0</v>
      </c>
      <c r="K182" s="3"/>
      <c r="L182" s="3"/>
      <c r="M182" s="3"/>
      <c r="N182" s="3"/>
      <c r="O182" t="b">
        <f>ValidatePatient(BrachyTxs[[#This Row],[Pt]])</f>
        <v>1</v>
      </c>
      <c r="P182" t="b">
        <f>ValidatePhysicists(BrachyTxs[[#This Row],[Physicist(s)]])</f>
        <v>1</v>
      </c>
      <c r="Q182" t="b">
        <f>ValidateMDs(BrachyTxs[[#This Row],[MD(s)]])</f>
        <v>1</v>
      </c>
      <c r="S182" s="3"/>
    </row>
    <row r="183" spans="1:19" x14ac:dyDescent="0.25">
      <c r="A183" t="s">
        <v>324</v>
      </c>
      <c r="B183" s="1">
        <v>40714</v>
      </c>
      <c r="C183" s="2" t="s">
        <v>184</v>
      </c>
      <c r="D183" s="3"/>
      <c r="E183" s="3"/>
      <c r="F183">
        <f>IF(ISNUMBER(SEARCH("BB",BrachyTxs[[#This Row],[Physicist(s)]])),1,0)</f>
        <v>0</v>
      </c>
      <c r="G183" s="3">
        <f>IF(ISNUMBER(SEARCH("DZ",BrachyTxs[[#This Row],[Physicist(s)]])),1,0)</f>
        <v>0</v>
      </c>
      <c r="H183" s="3">
        <f>IF(ISNUMBER(SEARCH("ZC",BrachyTxs[[#This Row],[Physicist(s)]])),1,0)</f>
        <v>0</v>
      </c>
      <c r="I183" s="3">
        <f>IF(ISNUMBER(SEARCH("DJ",BrachyTxs[[#This Row],[MD(s)]])),1,0)</f>
        <v>0</v>
      </c>
      <c r="J183" s="3">
        <f>IF(ISNUMBER(SEARCH("JS",BrachyTxs[[#This Row],[MD(s)]])),1,0)</f>
        <v>0</v>
      </c>
      <c r="K183" s="3"/>
      <c r="L183" s="3"/>
      <c r="M183" s="3"/>
      <c r="N183" s="3"/>
      <c r="O183" t="b">
        <f>ValidatePatient(BrachyTxs[[#This Row],[Pt]])</f>
        <v>1</v>
      </c>
      <c r="P183" t="b">
        <f>ValidatePhysicists(BrachyTxs[[#This Row],[Physicist(s)]])</f>
        <v>1</v>
      </c>
      <c r="Q183" t="b">
        <f>ValidateMDs(BrachyTxs[[#This Row],[MD(s)]])</f>
        <v>1</v>
      </c>
      <c r="S183" s="3"/>
    </row>
    <row r="184" spans="1:19" x14ac:dyDescent="0.25">
      <c r="A184" t="s">
        <v>323</v>
      </c>
      <c r="B184" s="1">
        <v>40721</v>
      </c>
      <c r="C184" s="2" t="s">
        <v>281</v>
      </c>
      <c r="D184" s="3"/>
      <c r="E184" s="3"/>
      <c r="F184">
        <f>IF(ISNUMBER(SEARCH("BB",BrachyTxs[[#This Row],[Physicist(s)]])),1,0)</f>
        <v>0</v>
      </c>
      <c r="G184" s="3">
        <f>IF(ISNUMBER(SEARCH("DZ",BrachyTxs[[#This Row],[Physicist(s)]])),1,0)</f>
        <v>0</v>
      </c>
      <c r="H184" s="3">
        <f>IF(ISNUMBER(SEARCH("ZC",BrachyTxs[[#This Row],[Physicist(s)]])),1,0)</f>
        <v>0</v>
      </c>
      <c r="I184" s="3">
        <f>IF(ISNUMBER(SEARCH("DJ",BrachyTxs[[#This Row],[MD(s)]])),1,0)</f>
        <v>0</v>
      </c>
      <c r="J184" s="3">
        <f>IF(ISNUMBER(SEARCH("JS",BrachyTxs[[#This Row],[MD(s)]])),1,0)</f>
        <v>0</v>
      </c>
      <c r="K184" s="3"/>
      <c r="L184" s="3"/>
      <c r="M184" s="3"/>
      <c r="N184" s="3"/>
      <c r="O184" t="b">
        <f>ValidatePatient(BrachyTxs[[#This Row],[Pt]])</f>
        <v>1</v>
      </c>
      <c r="P184" t="b">
        <f>ValidatePhysicists(BrachyTxs[[#This Row],[Physicist(s)]])</f>
        <v>1</v>
      </c>
      <c r="Q184" t="b">
        <f>ValidateMDs(BrachyTxs[[#This Row],[MD(s)]])</f>
        <v>1</v>
      </c>
      <c r="S184" s="3"/>
    </row>
    <row r="185" spans="1:19" x14ac:dyDescent="0.25">
      <c r="A185" t="s">
        <v>325</v>
      </c>
      <c r="B185" s="1">
        <v>40722</v>
      </c>
      <c r="C185" s="2" t="s">
        <v>101</v>
      </c>
      <c r="D185" s="3"/>
      <c r="E185" s="3"/>
      <c r="F185">
        <f>IF(ISNUMBER(SEARCH("BB",BrachyTxs[[#This Row],[Physicist(s)]])),1,0)</f>
        <v>0</v>
      </c>
      <c r="G185" s="3">
        <f>IF(ISNUMBER(SEARCH("DZ",BrachyTxs[[#This Row],[Physicist(s)]])),1,0)</f>
        <v>0</v>
      </c>
      <c r="H185" s="3">
        <f>IF(ISNUMBER(SEARCH("ZC",BrachyTxs[[#This Row],[Physicist(s)]])),1,0)</f>
        <v>0</v>
      </c>
      <c r="I185" s="3">
        <f>IF(ISNUMBER(SEARCH("DJ",BrachyTxs[[#This Row],[MD(s)]])),1,0)</f>
        <v>0</v>
      </c>
      <c r="J185" s="3">
        <f>IF(ISNUMBER(SEARCH("JS",BrachyTxs[[#This Row],[MD(s)]])),1,0)</f>
        <v>0</v>
      </c>
      <c r="K185" s="3"/>
      <c r="L185" s="3"/>
      <c r="M185" s="3"/>
      <c r="N185" s="3"/>
      <c r="O185" t="b">
        <f>ValidatePatient(BrachyTxs[[#This Row],[Pt]])</f>
        <v>1</v>
      </c>
      <c r="P185" t="b">
        <f>ValidatePhysicists(BrachyTxs[[#This Row],[Physicist(s)]])</f>
        <v>1</v>
      </c>
      <c r="Q185" t="b">
        <f>ValidateMDs(BrachyTxs[[#This Row],[MD(s)]])</f>
        <v>1</v>
      </c>
      <c r="S185" s="3"/>
    </row>
    <row r="186" spans="1:19" x14ac:dyDescent="0.25">
      <c r="A186" t="s">
        <v>325</v>
      </c>
      <c r="B186" s="1">
        <v>40730</v>
      </c>
      <c r="C186" s="2" t="s">
        <v>317</v>
      </c>
      <c r="D186" s="3"/>
      <c r="E186" s="3"/>
      <c r="F186">
        <f>IF(ISNUMBER(SEARCH("BB",BrachyTxs[[#This Row],[Physicist(s)]])),1,0)</f>
        <v>0</v>
      </c>
      <c r="G186" s="3">
        <f>IF(ISNUMBER(SEARCH("DZ",BrachyTxs[[#This Row],[Physicist(s)]])),1,0)</f>
        <v>0</v>
      </c>
      <c r="H186" s="3">
        <f>IF(ISNUMBER(SEARCH("ZC",BrachyTxs[[#This Row],[Physicist(s)]])),1,0)</f>
        <v>0</v>
      </c>
      <c r="I186" s="3">
        <f>IF(ISNUMBER(SEARCH("DJ",BrachyTxs[[#This Row],[MD(s)]])),1,0)</f>
        <v>0</v>
      </c>
      <c r="J186" s="3">
        <f>IF(ISNUMBER(SEARCH("JS",BrachyTxs[[#This Row],[MD(s)]])),1,0)</f>
        <v>0</v>
      </c>
      <c r="K186" s="3"/>
      <c r="L186" s="3"/>
      <c r="M186" s="3"/>
      <c r="N186" s="3"/>
      <c r="O186" t="b">
        <f>ValidatePatient(BrachyTxs[[#This Row],[Pt]])</f>
        <v>1</v>
      </c>
      <c r="P186" t="b">
        <f>ValidatePhysicists(BrachyTxs[[#This Row],[Physicist(s)]])</f>
        <v>1</v>
      </c>
      <c r="Q186" t="b">
        <f>ValidateMDs(BrachyTxs[[#This Row],[MD(s)]])</f>
        <v>1</v>
      </c>
      <c r="S186" s="3"/>
    </row>
    <row r="187" spans="1:19" x14ac:dyDescent="0.25">
      <c r="A187" t="s">
        <v>323</v>
      </c>
      <c r="B187" s="1">
        <v>40731</v>
      </c>
      <c r="C187" s="2" t="s">
        <v>186</v>
      </c>
      <c r="D187" s="3"/>
      <c r="E187" s="3"/>
      <c r="F187">
        <f>IF(ISNUMBER(SEARCH("BB",BrachyTxs[[#This Row],[Physicist(s)]])),1,0)</f>
        <v>0</v>
      </c>
      <c r="G187" s="3">
        <f>IF(ISNUMBER(SEARCH("DZ",BrachyTxs[[#This Row],[Physicist(s)]])),1,0)</f>
        <v>0</v>
      </c>
      <c r="H187" s="3">
        <f>IF(ISNUMBER(SEARCH("ZC",BrachyTxs[[#This Row],[Physicist(s)]])),1,0)</f>
        <v>0</v>
      </c>
      <c r="I187" s="3">
        <f>IF(ISNUMBER(SEARCH("DJ",BrachyTxs[[#This Row],[MD(s)]])),1,0)</f>
        <v>0</v>
      </c>
      <c r="J187" s="3">
        <f>IF(ISNUMBER(SEARCH("JS",BrachyTxs[[#This Row],[MD(s)]])),1,0)</f>
        <v>0</v>
      </c>
      <c r="K187" s="3"/>
      <c r="L187" s="3"/>
      <c r="M187" s="3"/>
      <c r="N187" s="3"/>
      <c r="O187" t="b">
        <f>ValidatePatient(BrachyTxs[[#This Row],[Pt]])</f>
        <v>1</v>
      </c>
      <c r="P187" t="b">
        <f>ValidatePhysicists(BrachyTxs[[#This Row],[Physicist(s)]])</f>
        <v>1</v>
      </c>
      <c r="Q187" t="b">
        <f>ValidateMDs(BrachyTxs[[#This Row],[MD(s)]])</f>
        <v>1</v>
      </c>
      <c r="S187" s="3"/>
    </row>
    <row r="188" spans="1:19" x14ac:dyDescent="0.25">
      <c r="A188" t="s">
        <v>324</v>
      </c>
      <c r="B188" s="1">
        <v>40756</v>
      </c>
      <c r="C188" s="2" t="s">
        <v>155</v>
      </c>
      <c r="D188" s="3"/>
      <c r="E188" s="3"/>
      <c r="F188">
        <f>IF(ISNUMBER(SEARCH("BB",BrachyTxs[[#This Row],[Physicist(s)]])),1,0)</f>
        <v>0</v>
      </c>
      <c r="G188" s="3">
        <f>IF(ISNUMBER(SEARCH("DZ",BrachyTxs[[#This Row],[Physicist(s)]])),1,0)</f>
        <v>0</v>
      </c>
      <c r="H188" s="3">
        <f>IF(ISNUMBER(SEARCH("ZC",BrachyTxs[[#This Row],[Physicist(s)]])),1,0)</f>
        <v>0</v>
      </c>
      <c r="I188" s="3">
        <f>IF(ISNUMBER(SEARCH("DJ",BrachyTxs[[#This Row],[MD(s)]])),1,0)</f>
        <v>0</v>
      </c>
      <c r="J188" s="3">
        <f>IF(ISNUMBER(SEARCH("JS",BrachyTxs[[#This Row],[MD(s)]])),1,0)</f>
        <v>0</v>
      </c>
      <c r="K188" s="3"/>
      <c r="L188" s="3"/>
      <c r="M188" s="3"/>
      <c r="N188" s="3"/>
      <c r="O188" t="b">
        <f>ValidatePatient(BrachyTxs[[#This Row],[Pt]])</f>
        <v>1</v>
      </c>
      <c r="P188" t="b">
        <f>ValidatePhysicists(BrachyTxs[[#This Row],[Physicist(s)]])</f>
        <v>1</v>
      </c>
      <c r="Q188" t="b">
        <f>ValidateMDs(BrachyTxs[[#This Row],[MD(s)]])</f>
        <v>1</v>
      </c>
      <c r="S188" s="3"/>
    </row>
    <row r="189" spans="1:19" x14ac:dyDescent="0.25">
      <c r="A189" t="s">
        <v>324</v>
      </c>
      <c r="B189" s="1">
        <v>40773</v>
      </c>
      <c r="C189" s="2" t="s">
        <v>155</v>
      </c>
      <c r="D189" s="3"/>
      <c r="E189" s="3"/>
      <c r="F189">
        <f>IF(ISNUMBER(SEARCH("BB",BrachyTxs[[#This Row],[Physicist(s)]])),1,0)</f>
        <v>0</v>
      </c>
      <c r="G189" s="3">
        <f>IF(ISNUMBER(SEARCH("DZ",BrachyTxs[[#This Row],[Physicist(s)]])),1,0)</f>
        <v>0</v>
      </c>
      <c r="H189" s="3">
        <f>IF(ISNUMBER(SEARCH("ZC",BrachyTxs[[#This Row],[Physicist(s)]])),1,0)</f>
        <v>0</v>
      </c>
      <c r="I189" s="3">
        <f>IF(ISNUMBER(SEARCH("DJ",BrachyTxs[[#This Row],[MD(s)]])),1,0)</f>
        <v>0</v>
      </c>
      <c r="J189" s="3">
        <f>IF(ISNUMBER(SEARCH("JS",BrachyTxs[[#This Row],[MD(s)]])),1,0)</f>
        <v>0</v>
      </c>
      <c r="K189" s="3"/>
      <c r="L189" s="3"/>
      <c r="M189" s="3"/>
      <c r="N189" s="3"/>
      <c r="O189" t="b">
        <f>ValidatePatient(BrachyTxs[[#This Row],[Pt]])</f>
        <v>1</v>
      </c>
      <c r="P189" t="b">
        <f>ValidatePhysicists(BrachyTxs[[#This Row],[Physicist(s)]])</f>
        <v>1</v>
      </c>
      <c r="Q189" t="b">
        <f>ValidateMDs(BrachyTxs[[#This Row],[MD(s)]])</f>
        <v>1</v>
      </c>
      <c r="S189" s="3"/>
    </row>
    <row r="190" spans="1:19" x14ac:dyDescent="0.25">
      <c r="A190" t="s">
        <v>323</v>
      </c>
      <c r="B190" s="1">
        <v>40773</v>
      </c>
      <c r="C190" s="2" t="s">
        <v>283</v>
      </c>
      <c r="D190" s="3"/>
      <c r="E190" s="3"/>
      <c r="F190">
        <f>IF(ISNUMBER(SEARCH("BB",BrachyTxs[[#This Row],[Physicist(s)]])),1,0)</f>
        <v>0</v>
      </c>
      <c r="G190" s="3">
        <f>IF(ISNUMBER(SEARCH("DZ",BrachyTxs[[#This Row],[Physicist(s)]])),1,0)</f>
        <v>0</v>
      </c>
      <c r="H190" s="3">
        <f>IF(ISNUMBER(SEARCH("ZC",BrachyTxs[[#This Row],[Physicist(s)]])),1,0)</f>
        <v>0</v>
      </c>
      <c r="I190" s="3">
        <f>IF(ISNUMBER(SEARCH("DJ",BrachyTxs[[#This Row],[MD(s)]])),1,0)</f>
        <v>0</v>
      </c>
      <c r="J190" s="3">
        <f>IF(ISNUMBER(SEARCH("JS",BrachyTxs[[#This Row],[MD(s)]])),1,0)</f>
        <v>0</v>
      </c>
      <c r="K190" s="3"/>
      <c r="L190" s="3"/>
      <c r="M190" s="3"/>
      <c r="N190" s="3"/>
      <c r="O190" t="b">
        <f>ValidatePatient(BrachyTxs[[#This Row],[Pt]])</f>
        <v>1</v>
      </c>
      <c r="P190" t="b">
        <f>ValidatePhysicists(BrachyTxs[[#This Row],[Physicist(s)]])</f>
        <v>1</v>
      </c>
      <c r="Q190" t="b">
        <f>ValidateMDs(BrachyTxs[[#This Row],[MD(s)]])</f>
        <v>1</v>
      </c>
      <c r="S190" s="3"/>
    </row>
    <row r="191" spans="1:19" x14ac:dyDescent="0.25">
      <c r="A191" t="s">
        <v>323</v>
      </c>
      <c r="B191" s="1">
        <v>40773</v>
      </c>
      <c r="C191" s="2" t="s">
        <v>205</v>
      </c>
      <c r="D191" s="3"/>
      <c r="E191" s="3"/>
      <c r="F191">
        <f>IF(ISNUMBER(SEARCH("BB",BrachyTxs[[#This Row],[Physicist(s)]])),1,0)</f>
        <v>0</v>
      </c>
      <c r="G191" s="3">
        <f>IF(ISNUMBER(SEARCH("DZ",BrachyTxs[[#This Row],[Physicist(s)]])),1,0)</f>
        <v>0</v>
      </c>
      <c r="H191" s="3">
        <f>IF(ISNUMBER(SEARCH("ZC",BrachyTxs[[#This Row],[Physicist(s)]])),1,0)</f>
        <v>0</v>
      </c>
      <c r="I191" s="3">
        <f>IF(ISNUMBER(SEARCH("DJ",BrachyTxs[[#This Row],[MD(s)]])),1,0)</f>
        <v>0</v>
      </c>
      <c r="J191" s="3">
        <f>IF(ISNUMBER(SEARCH("JS",BrachyTxs[[#This Row],[MD(s)]])),1,0)</f>
        <v>0</v>
      </c>
      <c r="K191" s="3"/>
      <c r="L191" s="3"/>
      <c r="M191" s="3"/>
      <c r="N191" s="3"/>
      <c r="O191" t="b">
        <f>ValidatePatient(BrachyTxs[[#This Row],[Pt]])</f>
        <v>1</v>
      </c>
      <c r="P191" t="b">
        <f>ValidatePhysicists(BrachyTxs[[#This Row],[Physicist(s)]])</f>
        <v>1</v>
      </c>
      <c r="Q191" t="b">
        <f>ValidateMDs(BrachyTxs[[#This Row],[MD(s)]])</f>
        <v>1</v>
      </c>
      <c r="S191" s="3"/>
    </row>
    <row r="192" spans="1:19" x14ac:dyDescent="0.25">
      <c r="A192" t="s">
        <v>325</v>
      </c>
      <c r="B192" s="1">
        <v>40785</v>
      </c>
      <c r="C192" s="2" t="s">
        <v>58</v>
      </c>
      <c r="D192" s="3"/>
      <c r="E192" s="3"/>
      <c r="F192">
        <f>IF(ISNUMBER(SEARCH("BB",BrachyTxs[[#This Row],[Physicist(s)]])),1,0)</f>
        <v>0</v>
      </c>
      <c r="G192" s="3">
        <f>IF(ISNUMBER(SEARCH("DZ",BrachyTxs[[#This Row],[Physicist(s)]])),1,0)</f>
        <v>0</v>
      </c>
      <c r="H192" s="3">
        <f>IF(ISNUMBER(SEARCH("ZC",BrachyTxs[[#This Row],[Physicist(s)]])),1,0)</f>
        <v>0</v>
      </c>
      <c r="I192" s="3">
        <f>IF(ISNUMBER(SEARCH("DJ",BrachyTxs[[#This Row],[MD(s)]])),1,0)</f>
        <v>0</v>
      </c>
      <c r="J192" s="3">
        <f>IF(ISNUMBER(SEARCH("JS",BrachyTxs[[#This Row],[MD(s)]])),1,0)</f>
        <v>0</v>
      </c>
      <c r="K192" s="3"/>
      <c r="L192" s="3"/>
      <c r="M192" s="3"/>
      <c r="N192" s="3"/>
      <c r="O192" t="b">
        <f>ValidatePatient(BrachyTxs[[#This Row],[Pt]])</f>
        <v>1</v>
      </c>
      <c r="P192" t="b">
        <f>ValidatePhysicists(BrachyTxs[[#This Row],[Physicist(s)]])</f>
        <v>1</v>
      </c>
      <c r="Q192" t="b">
        <f>ValidateMDs(BrachyTxs[[#This Row],[MD(s)]])</f>
        <v>1</v>
      </c>
      <c r="S192" s="3"/>
    </row>
    <row r="193" spans="1:19" x14ac:dyDescent="0.25">
      <c r="A193" t="s">
        <v>325</v>
      </c>
      <c r="B193" s="1">
        <v>40785</v>
      </c>
      <c r="C193" s="2" t="s">
        <v>255</v>
      </c>
      <c r="D193" s="3"/>
      <c r="E193" s="3"/>
      <c r="F193">
        <f>IF(ISNUMBER(SEARCH("BB",BrachyTxs[[#This Row],[Physicist(s)]])),1,0)</f>
        <v>0</v>
      </c>
      <c r="G193" s="3">
        <f>IF(ISNUMBER(SEARCH("DZ",BrachyTxs[[#This Row],[Physicist(s)]])),1,0)</f>
        <v>0</v>
      </c>
      <c r="H193" s="3">
        <f>IF(ISNUMBER(SEARCH("ZC",BrachyTxs[[#This Row],[Physicist(s)]])),1,0)</f>
        <v>0</v>
      </c>
      <c r="I193" s="3">
        <f>IF(ISNUMBER(SEARCH("DJ",BrachyTxs[[#This Row],[MD(s)]])),1,0)</f>
        <v>0</v>
      </c>
      <c r="J193" s="3">
        <f>IF(ISNUMBER(SEARCH("JS",BrachyTxs[[#This Row],[MD(s)]])),1,0)</f>
        <v>0</v>
      </c>
      <c r="K193" s="3"/>
      <c r="L193" s="3"/>
      <c r="M193" s="3"/>
      <c r="N193" s="3"/>
      <c r="O193" t="b">
        <f>ValidatePatient(BrachyTxs[[#This Row],[Pt]])</f>
        <v>1</v>
      </c>
      <c r="P193" t="b">
        <f>ValidatePhysicists(BrachyTxs[[#This Row],[Physicist(s)]])</f>
        <v>1</v>
      </c>
      <c r="Q193" t="b">
        <f>ValidateMDs(BrachyTxs[[#This Row],[MD(s)]])</f>
        <v>1</v>
      </c>
      <c r="S193" s="3"/>
    </row>
    <row r="194" spans="1:19" x14ac:dyDescent="0.25">
      <c r="A194" t="s">
        <v>325</v>
      </c>
      <c r="B194" s="1">
        <v>40799</v>
      </c>
      <c r="C194" s="2" t="s">
        <v>35</v>
      </c>
      <c r="D194" s="3"/>
      <c r="E194" s="3"/>
      <c r="F194">
        <f>IF(ISNUMBER(SEARCH("BB",BrachyTxs[[#This Row],[Physicist(s)]])),1,0)</f>
        <v>0</v>
      </c>
      <c r="G194" s="3">
        <f>IF(ISNUMBER(SEARCH("DZ",BrachyTxs[[#This Row],[Physicist(s)]])),1,0)</f>
        <v>0</v>
      </c>
      <c r="H194" s="3">
        <f>IF(ISNUMBER(SEARCH("ZC",BrachyTxs[[#This Row],[Physicist(s)]])),1,0)</f>
        <v>0</v>
      </c>
      <c r="I194" s="3">
        <f>IF(ISNUMBER(SEARCH("DJ",BrachyTxs[[#This Row],[MD(s)]])),1,0)</f>
        <v>0</v>
      </c>
      <c r="J194" s="3">
        <f>IF(ISNUMBER(SEARCH("JS",BrachyTxs[[#This Row],[MD(s)]])),1,0)</f>
        <v>0</v>
      </c>
      <c r="K194" s="3"/>
      <c r="L194" s="3"/>
      <c r="M194" s="3"/>
      <c r="N194" s="3"/>
      <c r="O194" t="b">
        <f>ValidatePatient(BrachyTxs[[#This Row],[Pt]])</f>
        <v>1</v>
      </c>
      <c r="P194" t="b">
        <f>ValidatePhysicists(BrachyTxs[[#This Row],[Physicist(s)]])</f>
        <v>1</v>
      </c>
      <c r="Q194" t="b">
        <f>ValidateMDs(BrachyTxs[[#This Row],[MD(s)]])</f>
        <v>1</v>
      </c>
      <c r="S194" s="3"/>
    </row>
    <row r="195" spans="1:19" x14ac:dyDescent="0.25">
      <c r="A195" t="s">
        <v>323</v>
      </c>
      <c r="B195" s="1">
        <v>40801</v>
      </c>
      <c r="C195" s="2" t="s">
        <v>249</v>
      </c>
      <c r="D195" s="3"/>
      <c r="E195" s="3"/>
      <c r="F195">
        <f>IF(ISNUMBER(SEARCH("BB",BrachyTxs[[#This Row],[Physicist(s)]])),1,0)</f>
        <v>0</v>
      </c>
      <c r="G195" s="3">
        <f>IF(ISNUMBER(SEARCH("DZ",BrachyTxs[[#This Row],[Physicist(s)]])),1,0)</f>
        <v>0</v>
      </c>
      <c r="H195" s="3">
        <f>IF(ISNUMBER(SEARCH("ZC",BrachyTxs[[#This Row],[Physicist(s)]])),1,0)</f>
        <v>0</v>
      </c>
      <c r="I195" s="3">
        <f>IF(ISNUMBER(SEARCH("DJ",BrachyTxs[[#This Row],[MD(s)]])),1,0)</f>
        <v>0</v>
      </c>
      <c r="J195" s="3">
        <f>IF(ISNUMBER(SEARCH("JS",BrachyTxs[[#This Row],[MD(s)]])),1,0)</f>
        <v>0</v>
      </c>
      <c r="K195" s="3"/>
      <c r="L195" s="3"/>
      <c r="M195" s="3"/>
      <c r="N195" s="3"/>
      <c r="O195" t="b">
        <f>ValidatePatient(BrachyTxs[[#This Row],[Pt]])</f>
        <v>1</v>
      </c>
      <c r="P195" t="b">
        <f>ValidatePhysicists(BrachyTxs[[#This Row],[Physicist(s)]])</f>
        <v>1</v>
      </c>
      <c r="Q195" t="b">
        <f>ValidateMDs(BrachyTxs[[#This Row],[MD(s)]])</f>
        <v>1</v>
      </c>
      <c r="S195" s="3"/>
    </row>
    <row r="196" spans="1:19" x14ac:dyDescent="0.25">
      <c r="A196" t="s">
        <v>325</v>
      </c>
      <c r="B196" s="1">
        <v>40828</v>
      </c>
      <c r="C196" s="2" t="s">
        <v>88</v>
      </c>
      <c r="D196" s="3"/>
      <c r="E196" s="3"/>
      <c r="F196">
        <f>IF(ISNUMBER(SEARCH("BB",BrachyTxs[[#This Row],[Physicist(s)]])),1,0)</f>
        <v>0</v>
      </c>
      <c r="G196" s="3">
        <f>IF(ISNUMBER(SEARCH("DZ",BrachyTxs[[#This Row],[Physicist(s)]])),1,0)</f>
        <v>0</v>
      </c>
      <c r="H196" s="3">
        <f>IF(ISNUMBER(SEARCH("ZC",BrachyTxs[[#This Row],[Physicist(s)]])),1,0)</f>
        <v>0</v>
      </c>
      <c r="I196" s="3">
        <f>IF(ISNUMBER(SEARCH("DJ",BrachyTxs[[#This Row],[MD(s)]])),1,0)</f>
        <v>0</v>
      </c>
      <c r="J196" s="3">
        <f>IF(ISNUMBER(SEARCH("JS",BrachyTxs[[#This Row],[MD(s)]])),1,0)</f>
        <v>0</v>
      </c>
      <c r="K196" s="3"/>
      <c r="L196" s="3"/>
      <c r="M196" s="3"/>
      <c r="N196" s="3"/>
      <c r="O196" t="b">
        <f>ValidatePatient(BrachyTxs[[#This Row],[Pt]])</f>
        <v>1</v>
      </c>
      <c r="P196" t="b">
        <f>ValidatePhysicists(BrachyTxs[[#This Row],[Physicist(s)]])</f>
        <v>1</v>
      </c>
      <c r="Q196" t="b">
        <f>ValidateMDs(BrachyTxs[[#This Row],[MD(s)]])</f>
        <v>1</v>
      </c>
      <c r="S196" s="3"/>
    </row>
    <row r="197" spans="1:19" x14ac:dyDescent="0.25">
      <c r="A197" t="s">
        <v>323</v>
      </c>
      <c r="B197" s="1">
        <v>40840</v>
      </c>
      <c r="C197" s="2" t="s">
        <v>85</v>
      </c>
      <c r="D197" s="3"/>
      <c r="E197" s="3"/>
      <c r="F197">
        <f>IF(ISNUMBER(SEARCH("BB",BrachyTxs[[#This Row],[Physicist(s)]])),1,0)</f>
        <v>0</v>
      </c>
      <c r="G197" s="3">
        <f>IF(ISNUMBER(SEARCH("DZ",BrachyTxs[[#This Row],[Physicist(s)]])),1,0)</f>
        <v>0</v>
      </c>
      <c r="H197" s="3">
        <f>IF(ISNUMBER(SEARCH("ZC",BrachyTxs[[#This Row],[Physicist(s)]])),1,0)</f>
        <v>0</v>
      </c>
      <c r="I197" s="3">
        <f>IF(ISNUMBER(SEARCH("DJ",BrachyTxs[[#This Row],[MD(s)]])),1,0)</f>
        <v>0</v>
      </c>
      <c r="J197" s="3">
        <f>IF(ISNUMBER(SEARCH("JS",BrachyTxs[[#This Row],[MD(s)]])),1,0)</f>
        <v>0</v>
      </c>
      <c r="K197" s="3"/>
      <c r="L197" s="3"/>
      <c r="M197" s="3"/>
      <c r="N197" s="3"/>
      <c r="O197" t="b">
        <f>ValidatePatient(BrachyTxs[[#This Row],[Pt]])</f>
        <v>1</v>
      </c>
      <c r="P197" t="b">
        <f>ValidatePhysicists(BrachyTxs[[#This Row],[Physicist(s)]])</f>
        <v>1</v>
      </c>
      <c r="Q197" t="b">
        <f>ValidateMDs(BrachyTxs[[#This Row],[MD(s)]])</f>
        <v>1</v>
      </c>
      <c r="S197" s="3"/>
    </row>
    <row r="198" spans="1:19" x14ac:dyDescent="0.25">
      <c r="A198" t="s">
        <v>323</v>
      </c>
      <c r="B198" s="1">
        <v>40844</v>
      </c>
      <c r="C198" s="2" t="s">
        <v>36</v>
      </c>
      <c r="D198" s="3"/>
      <c r="E198" s="3"/>
      <c r="F198">
        <f>IF(ISNUMBER(SEARCH("BB",BrachyTxs[[#This Row],[Physicist(s)]])),1,0)</f>
        <v>0</v>
      </c>
      <c r="G198" s="3">
        <f>IF(ISNUMBER(SEARCH("DZ",BrachyTxs[[#This Row],[Physicist(s)]])),1,0)</f>
        <v>0</v>
      </c>
      <c r="H198" s="3">
        <f>IF(ISNUMBER(SEARCH("ZC",BrachyTxs[[#This Row],[Physicist(s)]])),1,0)</f>
        <v>0</v>
      </c>
      <c r="I198" s="3">
        <f>IF(ISNUMBER(SEARCH("DJ",BrachyTxs[[#This Row],[MD(s)]])),1,0)</f>
        <v>0</v>
      </c>
      <c r="J198" s="3">
        <f>IF(ISNUMBER(SEARCH("JS",BrachyTxs[[#This Row],[MD(s)]])),1,0)</f>
        <v>0</v>
      </c>
      <c r="K198" s="3"/>
      <c r="L198" s="3"/>
      <c r="M198" s="3"/>
      <c r="N198" s="3"/>
      <c r="O198" t="b">
        <f>ValidatePatient(BrachyTxs[[#This Row],[Pt]])</f>
        <v>1</v>
      </c>
      <c r="P198" t="b">
        <f>ValidatePhysicists(BrachyTxs[[#This Row],[Physicist(s)]])</f>
        <v>1</v>
      </c>
      <c r="Q198" t="b">
        <f>ValidateMDs(BrachyTxs[[#This Row],[MD(s)]])</f>
        <v>1</v>
      </c>
      <c r="S198" s="3"/>
    </row>
    <row r="199" spans="1:19" x14ac:dyDescent="0.25">
      <c r="A199" t="s">
        <v>325</v>
      </c>
      <c r="B199" s="1">
        <v>40851</v>
      </c>
      <c r="C199" s="2" t="s">
        <v>318</v>
      </c>
      <c r="D199" s="3"/>
      <c r="E199" s="3"/>
      <c r="F199">
        <f>IF(ISNUMBER(SEARCH("BB",BrachyTxs[[#This Row],[Physicist(s)]])),1,0)</f>
        <v>0</v>
      </c>
      <c r="G199" s="3">
        <f>IF(ISNUMBER(SEARCH("DZ",BrachyTxs[[#This Row],[Physicist(s)]])),1,0)</f>
        <v>0</v>
      </c>
      <c r="H199" s="3">
        <f>IF(ISNUMBER(SEARCH("ZC",BrachyTxs[[#This Row],[Physicist(s)]])),1,0)</f>
        <v>0</v>
      </c>
      <c r="I199" s="3">
        <f>IF(ISNUMBER(SEARCH("DJ",BrachyTxs[[#This Row],[MD(s)]])),1,0)</f>
        <v>0</v>
      </c>
      <c r="J199" s="3">
        <f>IF(ISNUMBER(SEARCH("JS",BrachyTxs[[#This Row],[MD(s)]])),1,0)</f>
        <v>0</v>
      </c>
      <c r="K199" s="3"/>
      <c r="L199" s="3"/>
      <c r="M199" s="3"/>
      <c r="N199" s="3"/>
      <c r="O199" t="b">
        <f>ValidatePatient(BrachyTxs[[#This Row],[Pt]])</f>
        <v>1</v>
      </c>
      <c r="P199" t="b">
        <f>ValidatePhysicists(BrachyTxs[[#This Row],[Physicist(s)]])</f>
        <v>1</v>
      </c>
      <c r="Q199" t="b">
        <f>ValidateMDs(BrachyTxs[[#This Row],[MD(s)]])</f>
        <v>1</v>
      </c>
      <c r="S199" s="3"/>
    </row>
    <row r="200" spans="1:19" x14ac:dyDescent="0.25">
      <c r="A200" t="s">
        <v>323</v>
      </c>
      <c r="B200" s="1">
        <v>40851</v>
      </c>
      <c r="C200" s="2" t="s">
        <v>318</v>
      </c>
      <c r="D200" s="3"/>
      <c r="E200" s="3"/>
      <c r="F200">
        <f>IF(ISNUMBER(SEARCH("BB",BrachyTxs[[#This Row],[Physicist(s)]])),1,0)</f>
        <v>0</v>
      </c>
      <c r="G200" s="3">
        <f>IF(ISNUMBER(SEARCH("DZ",BrachyTxs[[#This Row],[Physicist(s)]])),1,0)</f>
        <v>0</v>
      </c>
      <c r="H200" s="3">
        <f>IF(ISNUMBER(SEARCH("ZC",BrachyTxs[[#This Row],[Physicist(s)]])),1,0)</f>
        <v>0</v>
      </c>
      <c r="I200" s="3">
        <f>IF(ISNUMBER(SEARCH("DJ",BrachyTxs[[#This Row],[MD(s)]])),1,0)</f>
        <v>0</v>
      </c>
      <c r="J200" s="3">
        <f>IF(ISNUMBER(SEARCH("JS",BrachyTxs[[#This Row],[MD(s)]])),1,0)</f>
        <v>0</v>
      </c>
      <c r="K200" s="3"/>
      <c r="L200" s="3"/>
      <c r="M200" s="3"/>
      <c r="N200" s="3"/>
      <c r="O200" t="b">
        <f>ValidatePatient(BrachyTxs[[#This Row],[Pt]])</f>
        <v>1</v>
      </c>
      <c r="P200" t="b">
        <f>ValidatePhysicists(BrachyTxs[[#This Row],[Physicist(s)]])</f>
        <v>1</v>
      </c>
      <c r="Q200" t="b">
        <f>ValidateMDs(BrachyTxs[[#This Row],[MD(s)]])</f>
        <v>1</v>
      </c>
      <c r="S200" s="3"/>
    </row>
    <row r="201" spans="1:19" x14ac:dyDescent="0.25">
      <c r="A201" t="s">
        <v>323</v>
      </c>
      <c r="B201" s="1">
        <v>40854</v>
      </c>
      <c r="C201" s="2" t="s">
        <v>15</v>
      </c>
      <c r="D201" s="3"/>
      <c r="E201" s="3"/>
      <c r="F201">
        <f>IF(ISNUMBER(SEARCH("BB",BrachyTxs[[#This Row],[Physicist(s)]])),1,0)</f>
        <v>0</v>
      </c>
      <c r="G201" s="3">
        <f>IF(ISNUMBER(SEARCH("DZ",BrachyTxs[[#This Row],[Physicist(s)]])),1,0)</f>
        <v>0</v>
      </c>
      <c r="H201" s="3">
        <f>IF(ISNUMBER(SEARCH("ZC",BrachyTxs[[#This Row],[Physicist(s)]])),1,0)</f>
        <v>0</v>
      </c>
      <c r="I201" s="3">
        <f>IF(ISNUMBER(SEARCH("DJ",BrachyTxs[[#This Row],[MD(s)]])),1,0)</f>
        <v>0</v>
      </c>
      <c r="J201" s="3">
        <f>IF(ISNUMBER(SEARCH("JS",BrachyTxs[[#This Row],[MD(s)]])),1,0)</f>
        <v>0</v>
      </c>
      <c r="K201" s="3"/>
      <c r="L201" s="3"/>
      <c r="M201" s="3"/>
      <c r="N201" s="3"/>
      <c r="O201" t="b">
        <f>ValidatePatient(BrachyTxs[[#This Row],[Pt]])</f>
        <v>1</v>
      </c>
      <c r="P201" t="b">
        <f>ValidatePhysicists(BrachyTxs[[#This Row],[Physicist(s)]])</f>
        <v>1</v>
      </c>
      <c r="Q201" t="b">
        <f>ValidateMDs(BrachyTxs[[#This Row],[MD(s)]])</f>
        <v>1</v>
      </c>
      <c r="S201" s="3"/>
    </row>
    <row r="202" spans="1:19" x14ac:dyDescent="0.25">
      <c r="A202" t="s">
        <v>325</v>
      </c>
      <c r="B202" s="1">
        <v>40862</v>
      </c>
      <c r="C202" s="2" t="s">
        <v>122</v>
      </c>
      <c r="D202" s="3"/>
      <c r="E202" s="3"/>
      <c r="F202">
        <f>IF(ISNUMBER(SEARCH("BB",BrachyTxs[[#This Row],[Physicist(s)]])),1,0)</f>
        <v>0</v>
      </c>
      <c r="G202" s="3">
        <f>IF(ISNUMBER(SEARCH("DZ",BrachyTxs[[#This Row],[Physicist(s)]])),1,0)</f>
        <v>0</v>
      </c>
      <c r="H202" s="3">
        <f>IF(ISNUMBER(SEARCH("ZC",BrachyTxs[[#This Row],[Physicist(s)]])),1,0)</f>
        <v>0</v>
      </c>
      <c r="I202" s="3">
        <f>IF(ISNUMBER(SEARCH("DJ",BrachyTxs[[#This Row],[MD(s)]])),1,0)</f>
        <v>0</v>
      </c>
      <c r="J202" s="3">
        <f>IF(ISNUMBER(SEARCH("JS",BrachyTxs[[#This Row],[MD(s)]])),1,0)</f>
        <v>0</v>
      </c>
      <c r="K202" s="3"/>
      <c r="L202" s="3"/>
      <c r="M202" s="3"/>
      <c r="N202" s="3"/>
      <c r="O202" t="b">
        <f>ValidatePatient(BrachyTxs[[#This Row],[Pt]])</f>
        <v>1</v>
      </c>
      <c r="P202" t="b">
        <f>ValidatePhysicists(BrachyTxs[[#This Row],[Physicist(s)]])</f>
        <v>1</v>
      </c>
      <c r="Q202" t="b">
        <f>ValidateMDs(BrachyTxs[[#This Row],[MD(s)]])</f>
        <v>1</v>
      </c>
      <c r="S202" s="3"/>
    </row>
    <row r="203" spans="1:19" x14ac:dyDescent="0.25">
      <c r="A203" t="s">
        <v>323</v>
      </c>
      <c r="B203" s="1">
        <v>40876</v>
      </c>
      <c r="C203" s="2" t="s">
        <v>54</v>
      </c>
      <c r="D203" s="3"/>
      <c r="E203" s="3"/>
      <c r="F203">
        <f>IF(ISNUMBER(SEARCH("BB",BrachyTxs[[#This Row],[Physicist(s)]])),1,0)</f>
        <v>0</v>
      </c>
      <c r="G203" s="3">
        <f>IF(ISNUMBER(SEARCH("DZ",BrachyTxs[[#This Row],[Physicist(s)]])),1,0)</f>
        <v>0</v>
      </c>
      <c r="H203" s="3">
        <f>IF(ISNUMBER(SEARCH("ZC",BrachyTxs[[#This Row],[Physicist(s)]])),1,0)</f>
        <v>0</v>
      </c>
      <c r="I203" s="3">
        <f>IF(ISNUMBER(SEARCH("DJ",BrachyTxs[[#This Row],[MD(s)]])),1,0)</f>
        <v>0</v>
      </c>
      <c r="J203" s="3">
        <f>IF(ISNUMBER(SEARCH("JS",BrachyTxs[[#This Row],[MD(s)]])),1,0)</f>
        <v>0</v>
      </c>
      <c r="K203" s="3"/>
      <c r="L203" s="3"/>
      <c r="M203" s="3"/>
      <c r="N203" s="3"/>
      <c r="O203" t="b">
        <f>ValidatePatient(BrachyTxs[[#This Row],[Pt]])</f>
        <v>1</v>
      </c>
      <c r="P203" t="b">
        <f>ValidatePhysicists(BrachyTxs[[#This Row],[Physicist(s)]])</f>
        <v>1</v>
      </c>
      <c r="Q203" t="b">
        <f>ValidateMDs(BrachyTxs[[#This Row],[MD(s)]])</f>
        <v>1</v>
      </c>
      <c r="S203" s="3"/>
    </row>
    <row r="204" spans="1:19" x14ac:dyDescent="0.25">
      <c r="A204" t="s">
        <v>323</v>
      </c>
      <c r="B204" s="1">
        <v>40892</v>
      </c>
      <c r="C204" s="2" t="s">
        <v>187</v>
      </c>
      <c r="D204" s="3"/>
      <c r="E204" s="3"/>
      <c r="F204">
        <f>IF(ISNUMBER(SEARCH("BB",BrachyTxs[[#This Row],[Physicist(s)]])),1,0)</f>
        <v>0</v>
      </c>
      <c r="G204" s="3">
        <f>IF(ISNUMBER(SEARCH("DZ",BrachyTxs[[#This Row],[Physicist(s)]])),1,0)</f>
        <v>0</v>
      </c>
      <c r="H204" s="3">
        <f>IF(ISNUMBER(SEARCH("ZC",BrachyTxs[[#This Row],[Physicist(s)]])),1,0)</f>
        <v>0</v>
      </c>
      <c r="I204" s="3">
        <f>IF(ISNUMBER(SEARCH("DJ",BrachyTxs[[#This Row],[MD(s)]])),1,0)</f>
        <v>0</v>
      </c>
      <c r="J204" s="3">
        <f>IF(ISNUMBER(SEARCH("JS",BrachyTxs[[#This Row],[MD(s)]])),1,0)</f>
        <v>0</v>
      </c>
      <c r="K204" s="3"/>
      <c r="L204" s="3"/>
      <c r="M204" s="3"/>
      <c r="N204" s="3"/>
      <c r="O204" t="b">
        <f>ValidatePatient(BrachyTxs[[#This Row],[Pt]])</f>
        <v>1</v>
      </c>
      <c r="P204" t="b">
        <f>ValidatePhysicists(BrachyTxs[[#This Row],[Physicist(s)]])</f>
        <v>1</v>
      </c>
      <c r="Q204" t="b">
        <f>ValidateMDs(BrachyTxs[[#This Row],[MD(s)]])</f>
        <v>1</v>
      </c>
      <c r="S204" s="3"/>
    </row>
    <row r="205" spans="1:19" x14ac:dyDescent="0.25">
      <c r="A205" t="s">
        <v>323</v>
      </c>
      <c r="B205" s="1">
        <v>40892</v>
      </c>
      <c r="C205" s="2" t="s">
        <v>243</v>
      </c>
      <c r="D205" s="3"/>
      <c r="E205" s="3"/>
      <c r="F205">
        <f>IF(ISNUMBER(SEARCH("BB",BrachyTxs[[#This Row],[Physicist(s)]])),1,0)</f>
        <v>0</v>
      </c>
      <c r="G205" s="3">
        <f>IF(ISNUMBER(SEARCH("DZ",BrachyTxs[[#This Row],[Physicist(s)]])),1,0)</f>
        <v>0</v>
      </c>
      <c r="H205" s="3">
        <f>IF(ISNUMBER(SEARCH("ZC",BrachyTxs[[#This Row],[Physicist(s)]])),1,0)</f>
        <v>0</v>
      </c>
      <c r="I205" s="3">
        <f>IF(ISNUMBER(SEARCH("DJ",BrachyTxs[[#This Row],[MD(s)]])),1,0)</f>
        <v>0</v>
      </c>
      <c r="J205" s="3">
        <f>IF(ISNUMBER(SEARCH("JS",BrachyTxs[[#This Row],[MD(s)]])),1,0)</f>
        <v>0</v>
      </c>
      <c r="K205" s="3"/>
      <c r="L205" s="3"/>
      <c r="M205" s="3"/>
      <c r="N205" s="3"/>
      <c r="O205" t="b">
        <f>ValidatePatient(BrachyTxs[[#This Row],[Pt]])</f>
        <v>1</v>
      </c>
      <c r="P205" t="b">
        <f>ValidatePhysicists(BrachyTxs[[#This Row],[Physicist(s)]])</f>
        <v>1</v>
      </c>
      <c r="Q205" t="b">
        <f>ValidateMDs(BrachyTxs[[#This Row],[MD(s)]])</f>
        <v>1</v>
      </c>
      <c r="S205" s="3"/>
    </row>
    <row r="206" spans="1:19" x14ac:dyDescent="0.25">
      <c r="A206" t="s">
        <v>323</v>
      </c>
      <c r="B206" s="1">
        <v>40893</v>
      </c>
      <c r="C206" s="2" t="s">
        <v>250</v>
      </c>
      <c r="D206" s="3"/>
      <c r="E206" s="3"/>
      <c r="F206">
        <f>IF(ISNUMBER(SEARCH("BB",BrachyTxs[[#This Row],[Physicist(s)]])),1,0)</f>
        <v>0</v>
      </c>
      <c r="G206" s="3">
        <f>IF(ISNUMBER(SEARCH("DZ",BrachyTxs[[#This Row],[Physicist(s)]])),1,0)</f>
        <v>0</v>
      </c>
      <c r="H206" s="3">
        <f>IF(ISNUMBER(SEARCH("ZC",BrachyTxs[[#This Row],[Physicist(s)]])),1,0)</f>
        <v>0</v>
      </c>
      <c r="I206" s="3">
        <f>IF(ISNUMBER(SEARCH("DJ",BrachyTxs[[#This Row],[MD(s)]])),1,0)</f>
        <v>0</v>
      </c>
      <c r="J206" s="3">
        <f>IF(ISNUMBER(SEARCH("JS",BrachyTxs[[#This Row],[MD(s)]])),1,0)</f>
        <v>0</v>
      </c>
      <c r="K206" s="3"/>
      <c r="L206" s="3"/>
      <c r="M206" s="3"/>
      <c r="N206" s="3"/>
      <c r="O206" t="b">
        <f>ValidatePatient(BrachyTxs[[#This Row],[Pt]])</f>
        <v>1</v>
      </c>
      <c r="P206" t="b">
        <f>ValidatePhysicists(BrachyTxs[[#This Row],[Physicist(s)]])</f>
        <v>1</v>
      </c>
      <c r="Q206" t="b">
        <f>ValidateMDs(BrachyTxs[[#This Row],[MD(s)]])</f>
        <v>1</v>
      </c>
      <c r="S206" s="3"/>
    </row>
    <row r="207" spans="1:19" x14ac:dyDescent="0.25">
      <c r="A207" t="s">
        <v>323</v>
      </c>
      <c r="B207" s="1">
        <v>40912</v>
      </c>
      <c r="C207" s="2" t="s">
        <v>110</v>
      </c>
      <c r="D207" s="3"/>
      <c r="E207" s="3"/>
      <c r="F207">
        <f>IF(ISNUMBER(SEARCH("BB",BrachyTxs[[#This Row],[Physicist(s)]])),1,0)</f>
        <v>0</v>
      </c>
      <c r="G207" s="3">
        <f>IF(ISNUMBER(SEARCH("DZ",BrachyTxs[[#This Row],[Physicist(s)]])),1,0)</f>
        <v>0</v>
      </c>
      <c r="H207" s="3">
        <f>IF(ISNUMBER(SEARCH("ZC",BrachyTxs[[#This Row],[Physicist(s)]])),1,0)</f>
        <v>0</v>
      </c>
      <c r="I207" s="3">
        <f>IF(ISNUMBER(SEARCH("DJ",BrachyTxs[[#This Row],[MD(s)]])),1,0)</f>
        <v>0</v>
      </c>
      <c r="J207" s="3">
        <f>IF(ISNUMBER(SEARCH("JS",BrachyTxs[[#This Row],[MD(s)]])),1,0)</f>
        <v>0</v>
      </c>
      <c r="K207" s="3"/>
      <c r="L207" s="3"/>
      <c r="M207" s="3"/>
      <c r="N207" s="3"/>
      <c r="O207" t="b">
        <f>ValidatePatient(BrachyTxs[[#This Row],[Pt]])</f>
        <v>1</v>
      </c>
      <c r="P207" t="b">
        <f>ValidatePhysicists(BrachyTxs[[#This Row],[Physicist(s)]])</f>
        <v>1</v>
      </c>
      <c r="Q207" t="b">
        <f>ValidateMDs(BrachyTxs[[#This Row],[MD(s)]])</f>
        <v>1</v>
      </c>
      <c r="S207" s="3"/>
    </row>
    <row r="208" spans="1:19" x14ac:dyDescent="0.25">
      <c r="A208" t="s">
        <v>323</v>
      </c>
      <c r="B208" s="1">
        <v>40913</v>
      </c>
      <c r="C208" s="2" t="s">
        <v>328</v>
      </c>
      <c r="D208" s="3"/>
      <c r="E208" s="3"/>
      <c r="F208">
        <f>IF(ISNUMBER(SEARCH("BB",BrachyTxs[[#This Row],[Physicist(s)]])),1,0)</f>
        <v>0</v>
      </c>
      <c r="G208" s="3">
        <f>IF(ISNUMBER(SEARCH("DZ",BrachyTxs[[#This Row],[Physicist(s)]])),1,0)</f>
        <v>0</v>
      </c>
      <c r="H208" s="3">
        <f>IF(ISNUMBER(SEARCH("ZC",BrachyTxs[[#This Row],[Physicist(s)]])),1,0)</f>
        <v>0</v>
      </c>
      <c r="I208" s="3">
        <f>IF(ISNUMBER(SEARCH("DJ",BrachyTxs[[#This Row],[MD(s)]])),1,0)</f>
        <v>0</v>
      </c>
      <c r="J208" s="3">
        <f>IF(ISNUMBER(SEARCH("JS",BrachyTxs[[#This Row],[MD(s)]])),1,0)</f>
        <v>0</v>
      </c>
      <c r="K208" s="3"/>
      <c r="L208" s="3"/>
      <c r="M208" s="3"/>
      <c r="N208" s="3"/>
      <c r="O208" t="b">
        <f>ValidatePatient(BrachyTxs[[#This Row],[Pt]])</f>
        <v>1</v>
      </c>
      <c r="P208" t="b">
        <f>ValidatePhysicists(BrachyTxs[[#This Row],[Physicist(s)]])</f>
        <v>1</v>
      </c>
      <c r="Q208" t="b">
        <f>ValidateMDs(BrachyTxs[[#This Row],[MD(s)]])</f>
        <v>1</v>
      </c>
      <c r="S208" s="3"/>
    </row>
    <row r="209" spans="1:19" x14ac:dyDescent="0.25">
      <c r="A209" t="s">
        <v>323</v>
      </c>
      <c r="B209" s="1">
        <v>40914</v>
      </c>
      <c r="C209" s="2" t="s">
        <v>271</v>
      </c>
      <c r="D209" s="3"/>
      <c r="E209" s="3"/>
      <c r="F209">
        <f>IF(ISNUMBER(SEARCH("BB",BrachyTxs[[#This Row],[Physicist(s)]])),1,0)</f>
        <v>0</v>
      </c>
      <c r="G209" s="3">
        <f>IF(ISNUMBER(SEARCH("DZ",BrachyTxs[[#This Row],[Physicist(s)]])),1,0)</f>
        <v>0</v>
      </c>
      <c r="H209" s="3">
        <f>IF(ISNUMBER(SEARCH("ZC",BrachyTxs[[#This Row],[Physicist(s)]])),1,0)</f>
        <v>0</v>
      </c>
      <c r="I209" s="3">
        <f>IF(ISNUMBER(SEARCH("DJ",BrachyTxs[[#This Row],[MD(s)]])),1,0)</f>
        <v>0</v>
      </c>
      <c r="J209" s="3">
        <f>IF(ISNUMBER(SEARCH("JS",BrachyTxs[[#This Row],[MD(s)]])),1,0)</f>
        <v>0</v>
      </c>
      <c r="K209" s="3"/>
      <c r="L209" s="3"/>
      <c r="M209" s="3"/>
      <c r="N209" s="3"/>
      <c r="O209" t="b">
        <f>ValidatePatient(BrachyTxs[[#This Row],[Pt]])</f>
        <v>1</v>
      </c>
      <c r="P209" t="b">
        <f>ValidatePhysicists(BrachyTxs[[#This Row],[Physicist(s)]])</f>
        <v>1</v>
      </c>
      <c r="Q209" t="b">
        <f>ValidateMDs(BrachyTxs[[#This Row],[MD(s)]])</f>
        <v>1</v>
      </c>
      <c r="S209" s="3"/>
    </row>
    <row r="210" spans="1:19" x14ac:dyDescent="0.25">
      <c r="A210" t="s">
        <v>323</v>
      </c>
      <c r="B210" s="1">
        <v>40932</v>
      </c>
      <c r="C210" s="2" t="s">
        <v>103</v>
      </c>
      <c r="D210" s="3"/>
      <c r="E210" s="3"/>
      <c r="F210">
        <f>IF(ISNUMBER(SEARCH("BB",BrachyTxs[[#This Row],[Physicist(s)]])),1,0)</f>
        <v>0</v>
      </c>
      <c r="G210" s="3">
        <f>IF(ISNUMBER(SEARCH("DZ",BrachyTxs[[#This Row],[Physicist(s)]])),1,0)</f>
        <v>0</v>
      </c>
      <c r="H210" s="3">
        <f>IF(ISNUMBER(SEARCH("ZC",BrachyTxs[[#This Row],[Physicist(s)]])),1,0)</f>
        <v>0</v>
      </c>
      <c r="I210" s="3">
        <f>IF(ISNUMBER(SEARCH("DJ",BrachyTxs[[#This Row],[MD(s)]])),1,0)</f>
        <v>0</v>
      </c>
      <c r="J210" s="3">
        <f>IF(ISNUMBER(SEARCH("JS",BrachyTxs[[#This Row],[MD(s)]])),1,0)</f>
        <v>0</v>
      </c>
      <c r="K210" s="3"/>
      <c r="L210" s="3"/>
      <c r="M210" s="3"/>
      <c r="N210" s="3"/>
      <c r="O210" t="b">
        <f>ValidatePatient(BrachyTxs[[#This Row],[Pt]])</f>
        <v>1</v>
      </c>
      <c r="P210" t="b">
        <f>ValidatePhysicists(BrachyTxs[[#This Row],[Physicist(s)]])</f>
        <v>1</v>
      </c>
      <c r="Q210" t="b">
        <f>ValidateMDs(BrachyTxs[[#This Row],[MD(s)]])</f>
        <v>1</v>
      </c>
      <c r="S210" s="3"/>
    </row>
    <row r="211" spans="1:19" x14ac:dyDescent="0.25">
      <c r="A211" t="s">
        <v>323</v>
      </c>
      <c r="B211" s="1">
        <v>40934</v>
      </c>
      <c r="C211" s="2" t="s">
        <v>122</v>
      </c>
      <c r="D211" s="3"/>
      <c r="E211" s="3"/>
      <c r="F211">
        <f>IF(ISNUMBER(SEARCH("BB",BrachyTxs[[#This Row],[Physicist(s)]])),1,0)</f>
        <v>0</v>
      </c>
      <c r="G211" s="3">
        <f>IF(ISNUMBER(SEARCH("DZ",BrachyTxs[[#This Row],[Physicist(s)]])),1,0)</f>
        <v>0</v>
      </c>
      <c r="H211" s="3">
        <f>IF(ISNUMBER(SEARCH("ZC",BrachyTxs[[#This Row],[Physicist(s)]])),1,0)</f>
        <v>0</v>
      </c>
      <c r="I211" s="3">
        <f>IF(ISNUMBER(SEARCH("DJ",BrachyTxs[[#This Row],[MD(s)]])),1,0)</f>
        <v>0</v>
      </c>
      <c r="J211" s="3">
        <f>IF(ISNUMBER(SEARCH("JS",BrachyTxs[[#This Row],[MD(s)]])),1,0)</f>
        <v>0</v>
      </c>
      <c r="K211" s="3"/>
      <c r="L211" s="3"/>
      <c r="M211" s="3"/>
      <c r="N211" s="3"/>
      <c r="O211" t="b">
        <f>ValidatePatient(BrachyTxs[[#This Row],[Pt]])</f>
        <v>1</v>
      </c>
      <c r="P211" t="b">
        <f>ValidatePhysicists(BrachyTxs[[#This Row],[Physicist(s)]])</f>
        <v>1</v>
      </c>
      <c r="Q211" t="b">
        <f>ValidateMDs(BrachyTxs[[#This Row],[MD(s)]])</f>
        <v>1</v>
      </c>
      <c r="S211" s="3"/>
    </row>
    <row r="212" spans="1:19" x14ac:dyDescent="0.25">
      <c r="A212" t="s">
        <v>324</v>
      </c>
      <c r="B212" s="1">
        <v>40938</v>
      </c>
      <c r="C212" s="2" t="s">
        <v>329</v>
      </c>
      <c r="D212" s="3"/>
      <c r="E212" s="3"/>
      <c r="F212">
        <f>IF(ISNUMBER(SEARCH("BB",BrachyTxs[[#This Row],[Physicist(s)]])),1,0)</f>
        <v>0</v>
      </c>
      <c r="G212" s="3">
        <f>IF(ISNUMBER(SEARCH("DZ",BrachyTxs[[#This Row],[Physicist(s)]])),1,0)</f>
        <v>0</v>
      </c>
      <c r="H212" s="3">
        <f>IF(ISNUMBER(SEARCH("ZC",BrachyTxs[[#This Row],[Physicist(s)]])),1,0)</f>
        <v>0</v>
      </c>
      <c r="I212" s="3">
        <f>IF(ISNUMBER(SEARCH("DJ",BrachyTxs[[#This Row],[MD(s)]])),1,0)</f>
        <v>0</v>
      </c>
      <c r="J212" s="3">
        <f>IF(ISNUMBER(SEARCH("JS",BrachyTxs[[#This Row],[MD(s)]])),1,0)</f>
        <v>0</v>
      </c>
      <c r="K212" s="3"/>
      <c r="L212" s="3"/>
      <c r="M212" s="3"/>
      <c r="N212" s="3"/>
      <c r="O212" t="b">
        <f>ValidatePatient(BrachyTxs[[#This Row],[Pt]])</f>
        <v>1</v>
      </c>
      <c r="P212" t="b">
        <f>ValidatePhysicists(BrachyTxs[[#This Row],[Physicist(s)]])</f>
        <v>1</v>
      </c>
      <c r="Q212" t="b">
        <f>ValidateMDs(BrachyTxs[[#This Row],[MD(s)]])</f>
        <v>1</v>
      </c>
      <c r="S212" s="3"/>
    </row>
    <row r="213" spans="1:19" x14ac:dyDescent="0.25">
      <c r="A213" t="s">
        <v>323</v>
      </c>
      <c r="B213" s="1">
        <v>40956</v>
      </c>
      <c r="C213" s="2" t="s">
        <v>272</v>
      </c>
      <c r="D213" s="3"/>
      <c r="E213" s="3"/>
      <c r="F213">
        <f>IF(ISNUMBER(SEARCH("BB",BrachyTxs[[#This Row],[Physicist(s)]])),1,0)</f>
        <v>0</v>
      </c>
      <c r="G213" s="3">
        <f>IF(ISNUMBER(SEARCH("DZ",BrachyTxs[[#This Row],[Physicist(s)]])),1,0)</f>
        <v>0</v>
      </c>
      <c r="H213" s="3">
        <f>IF(ISNUMBER(SEARCH("ZC",BrachyTxs[[#This Row],[Physicist(s)]])),1,0)</f>
        <v>0</v>
      </c>
      <c r="I213" s="3">
        <f>IF(ISNUMBER(SEARCH("DJ",BrachyTxs[[#This Row],[MD(s)]])),1,0)</f>
        <v>0</v>
      </c>
      <c r="J213" s="3">
        <f>IF(ISNUMBER(SEARCH("JS",BrachyTxs[[#This Row],[MD(s)]])),1,0)</f>
        <v>0</v>
      </c>
      <c r="K213" s="3"/>
      <c r="L213" s="3"/>
      <c r="M213" s="3"/>
      <c r="N213" s="3"/>
      <c r="O213" t="b">
        <f>ValidatePatient(BrachyTxs[[#This Row],[Pt]])</f>
        <v>1</v>
      </c>
      <c r="P213" t="b">
        <f>ValidatePhysicists(BrachyTxs[[#This Row],[Physicist(s)]])</f>
        <v>1</v>
      </c>
      <c r="Q213" t="b">
        <f>ValidateMDs(BrachyTxs[[#This Row],[MD(s)]])</f>
        <v>1</v>
      </c>
      <c r="S213" s="3"/>
    </row>
    <row r="214" spans="1:19" x14ac:dyDescent="0.25">
      <c r="A214" t="s">
        <v>324</v>
      </c>
      <c r="B214" s="1">
        <v>40969</v>
      </c>
      <c r="C214" s="2" t="s">
        <v>69</v>
      </c>
      <c r="D214" s="3"/>
      <c r="E214" s="3"/>
      <c r="F214">
        <f>IF(ISNUMBER(SEARCH("BB",BrachyTxs[[#This Row],[Physicist(s)]])),1,0)</f>
        <v>0</v>
      </c>
      <c r="G214" s="3">
        <f>IF(ISNUMBER(SEARCH("DZ",BrachyTxs[[#This Row],[Physicist(s)]])),1,0)</f>
        <v>0</v>
      </c>
      <c r="H214" s="3">
        <f>IF(ISNUMBER(SEARCH("ZC",BrachyTxs[[#This Row],[Physicist(s)]])),1,0)</f>
        <v>0</v>
      </c>
      <c r="I214" s="3">
        <f>IF(ISNUMBER(SEARCH("DJ",BrachyTxs[[#This Row],[MD(s)]])),1,0)</f>
        <v>0</v>
      </c>
      <c r="J214" s="3">
        <f>IF(ISNUMBER(SEARCH("JS",BrachyTxs[[#This Row],[MD(s)]])),1,0)</f>
        <v>0</v>
      </c>
      <c r="K214" s="3"/>
      <c r="L214" s="3"/>
      <c r="M214" s="3"/>
      <c r="N214" s="3"/>
      <c r="O214" t="b">
        <f>ValidatePatient(BrachyTxs[[#This Row],[Pt]])</f>
        <v>1</v>
      </c>
      <c r="P214" t="b">
        <f>ValidatePhysicists(BrachyTxs[[#This Row],[Physicist(s)]])</f>
        <v>1</v>
      </c>
      <c r="Q214" t="b">
        <f>ValidateMDs(BrachyTxs[[#This Row],[MD(s)]])</f>
        <v>1</v>
      </c>
      <c r="S214" s="3"/>
    </row>
    <row r="215" spans="1:19" x14ac:dyDescent="0.25">
      <c r="A215" t="s">
        <v>323</v>
      </c>
      <c r="B215" s="1">
        <v>40970</v>
      </c>
      <c r="C215" s="2" t="s">
        <v>242</v>
      </c>
      <c r="D215" s="3"/>
      <c r="E215" s="3"/>
      <c r="F215">
        <f>IF(ISNUMBER(SEARCH("BB",BrachyTxs[[#This Row],[Physicist(s)]])),1,0)</f>
        <v>0</v>
      </c>
      <c r="G215" s="3">
        <f>IF(ISNUMBER(SEARCH("DZ",BrachyTxs[[#This Row],[Physicist(s)]])),1,0)</f>
        <v>0</v>
      </c>
      <c r="H215" s="3">
        <f>IF(ISNUMBER(SEARCH("ZC",BrachyTxs[[#This Row],[Physicist(s)]])),1,0)</f>
        <v>0</v>
      </c>
      <c r="I215" s="3">
        <f>IF(ISNUMBER(SEARCH("DJ",BrachyTxs[[#This Row],[MD(s)]])),1,0)</f>
        <v>0</v>
      </c>
      <c r="J215" s="3">
        <f>IF(ISNUMBER(SEARCH("JS",BrachyTxs[[#This Row],[MD(s)]])),1,0)</f>
        <v>0</v>
      </c>
      <c r="K215" s="3"/>
      <c r="L215" s="3"/>
      <c r="M215" s="3"/>
      <c r="N215" s="3"/>
      <c r="O215" t="b">
        <f>ValidatePatient(BrachyTxs[[#This Row],[Pt]])</f>
        <v>1</v>
      </c>
      <c r="P215" t="b">
        <f>ValidatePhysicists(BrachyTxs[[#This Row],[Physicist(s)]])</f>
        <v>1</v>
      </c>
      <c r="Q215" t="b">
        <f>ValidateMDs(BrachyTxs[[#This Row],[MD(s)]])</f>
        <v>1</v>
      </c>
      <c r="S215" s="3"/>
    </row>
    <row r="216" spans="1:19" x14ac:dyDescent="0.25">
      <c r="A216" t="s">
        <v>323</v>
      </c>
      <c r="B216" s="1">
        <v>40976</v>
      </c>
      <c r="C216" s="2" t="s">
        <v>131</v>
      </c>
      <c r="D216" s="3"/>
      <c r="E216" s="3"/>
      <c r="F216">
        <f>IF(ISNUMBER(SEARCH("BB",BrachyTxs[[#This Row],[Physicist(s)]])),1,0)</f>
        <v>0</v>
      </c>
      <c r="G216" s="3">
        <f>IF(ISNUMBER(SEARCH("DZ",BrachyTxs[[#This Row],[Physicist(s)]])),1,0)</f>
        <v>0</v>
      </c>
      <c r="H216" s="3">
        <f>IF(ISNUMBER(SEARCH("ZC",BrachyTxs[[#This Row],[Physicist(s)]])),1,0)</f>
        <v>0</v>
      </c>
      <c r="I216" s="3">
        <f>IF(ISNUMBER(SEARCH("DJ",BrachyTxs[[#This Row],[MD(s)]])),1,0)</f>
        <v>0</v>
      </c>
      <c r="J216" s="3">
        <f>IF(ISNUMBER(SEARCH("JS",BrachyTxs[[#This Row],[MD(s)]])),1,0)</f>
        <v>0</v>
      </c>
      <c r="K216" s="3"/>
      <c r="L216" s="3"/>
      <c r="M216" s="3"/>
      <c r="N216" s="3"/>
      <c r="O216" t="b">
        <f>ValidatePatient(BrachyTxs[[#This Row],[Pt]])</f>
        <v>1</v>
      </c>
      <c r="P216" t="b">
        <f>ValidatePhysicists(BrachyTxs[[#This Row],[Physicist(s)]])</f>
        <v>1</v>
      </c>
      <c r="Q216" t="b">
        <f>ValidateMDs(BrachyTxs[[#This Row],[MD(s)]])</f>
        <v>1</v>
      </c>
      <c r="S216" s="3"/>
    </row>
    <row r="217" spans="1:19" x14ac:dyDescent="0.25">
      <c r="A217" t="s">
        <v>323</v>
      </c>
      <c r="B217" s="1">
        <v>40981</v>
      </c>
      <c r="C217" s="2" t="s">
        <v>128</v>
      </c>
      <c r="D217" s="3"/>
      <c r="E217" s="3"/>
      <c r="F217">
        <f>IF(ISNUMBER(SEARCH("BB",BrachyTxs[[#This Row],[Physicist(s)]])),1,0)</f>
        <v>0</v>
      </c>
      <c r="G217" s="3">
        <f>IF(ISNUMBER(SEARCH("DZ",BrachyTxs[[#This Row],[Physicist(s)]])),1,0)</f>
        <v>0</v>
      </c>
      <c r="H217" s="3">
        <f>IF(ISNUMBER(SEARCH("ZC",BrachyTxs[[#This Row],[Physicist(s)]])),1,0)</f>
        <v>0</v>
      </c>
      <c r="I217" s="3">
        <f>IF(ISNUMBER(SEARCH("DJ",BrachyTxs[[#This Row],[MD(s)]])),1,0)</f>
        <v>0</v>
      </c>
      <c r="J217" s="3">
        <f>IF(ISNUMBER(SEARCH("JS",BrachyTxs[[#This Row],[MD(s)]])),1,0)</f>
        <v>0</v>
      </c>
      <c r="K217" s="3"/>
      <c r="L217" s="3"/>
      <c r="M217" s="3"/>
      <c r="N217" s="3"/>
      <c r="O217" t="b">
        <f>ValidatePatient(BrachyTxs[[#This Row],[Pt]])</f>
        <v>1</v>
      </c>
      <c r="P217" t="b">
        <f>ValidatePhysicists(BrachyTxs[[#This Row],[Physicist(s)]])</f>
        <v>1</v>
      </c>
      <c r="Q217" t="b">
        <f>ValidateMDs(BrachyTxs[[#This Row],[MD(s)]])</f>
        <v>1</v>
      </c>
      <c r="S217" s="3"/>
    </row>
    <row r="218" spans="1:19" x14ac:dyDescent="0.25">
      <c r="A218" t="s">
        <v>323</v>
      </c>
      <c r="B218" s="1">
        <v>41009</v>
      </c>
      <c r="C218" s="2" t="s">
        <v>311</v>
      </c>
      <c r="D218" s="3"/>
      <c r="E218" s="3"/>
      <c r="F218">
        <f>IF(ISNUMBER(SEARCH("BB",BrachyTxs[[#This Row],[Physicist(s)]])),1,0)</f>
        <v>0</v>
      </c>
      <c r="G218" s="3">
        <f>IF(ISNUMBER(SEARCH("DZ",BrachyTxs[[#This Row],[Physicist(s)]])),1,0)</f>
        <v>0</v>
      </c>
      <c r="H218" s="3">
        <f>IF(ISNUMBER(SEARCH("ZC",BrachyTxs[[#This Row],[Physicist(s)]])),1,0)</f>
        <v>0</v>
      </c>
      <c r="I218" s="3">
        <f>IF(ISNUMBER(SEARCH("DJ",BrachyTxs[[#This Row],[MD(s)]])),1,0)</f>
        <v>0</v>
      </c>
      <c r="J218" s="3">
        <f>IF(ISNUMBER(SEARCH("JS",BrachyTxs[[#This Row],[MD(s)]])),1,0)</f>
        <v>0</v>
      </c>
      <c r="K218" s="3"/>
      <c r="L218" s="3"/>
      <c r="M218" s="3"/>
      <c r="N218" s="3"/>
      <c r="O218" t="b">
        <f>ValidatePatient(BrachyTxs[[#This Row],[Pt]])</f>
        <v>1</v>
      </c>
      <c r="P218" t="b">
        <f>ValidatePhysicists(BrachyTxs[[#This Row],[Physicist(s)]])</f>
        <v>1</v>
      </c>
      <c r="Q218" t="b">
        <f>ValidateMDs(BrachyTxs[[#This Row],[MD(s)]])</f>
        <v>1</v>
      </c>
      <c r="S218" s="3"/>
    </row>
    <row r="219" spans="1:19" x14ac:dyDescent="0.25">
      <c r="A219" t="s">
        <v>324</v>
      </c>
      <c r="B219" s="1">
        <v>41015</v>
      </c>
      <c r="C219" s="2" t="s">
        <v>256</v>
      </c>
      <c r="D219" s="3"/>
      <c r="E219" s="3"/>
      <c r="F219">
        <f>IF(ISNUMBER(SEARCH("BB",BrachyTxs[[#This Row],[Physicist(s)]])),1,0)</f>
        <v>0</v>
      </c>
      <c r="G219" s="3">
        <f>IF(ISNUMBER(SEARCH("DZ",BrachyTxs[[#This Row],[Physicist(s)]])),1,0)</f>
        <v>0</v>
      </c>
      <c r="H219" s="3">
        <f>IF(ISNUMBER(SEARCH("ZC",BrachyTxs[[#This Row],[Physicist(s)]])),1,0)</f>
        <v>0</v>
      </c>
      <c r="I219" s="3">
        <f>IF(ISNUMBER(SEARCH("DJ",BrachyTxs[[#This Row],[MD(s)]])),1,0)</f>
        <v>0</v>
      </c>
      <c r="J219" s="3">
        <f>IF(ISNUMBER(SEARCH("JS",BrachyTxs[[#This Row],[MD(s)]])),1,0)</f>
        <v>0</v>
      </c>
      <c r="K219" s="3"/>
      <c r="L219" s="3"/>
      <c r="M219" s="3"/>
      <c r="N219" s="3"/>
      <c r="O219" t="b">
        <f>ValidatePatient(BrachyTxs[[#This Row],[Pt]])</f>
        <v>1</v>
      </c>
      <c r="P219" t="b">
        <f>ValidatePhysicists(BrachyTxs[[#This Row],[Physicist(s)]])</f>
        <v>1</v>
      </c>
      <c r="Q219" t="b">
        <f>ValidateMDs(BrachyTxs[[#This Row],[MD(s)]])</f>
        <v>1</v>
      </c>
      <c r="S219" s="3"/>
    </row>
    <row r="220" spans="1:19" x14ac:dyDescent="0.25">
      <c r="A220" t="s">
        <v>323</v>
      </c>
      <c r="B220" s="1">
        <v>41018</v>
      </c>
      <c r="C220" s="2" t="s">
        <v>103</v>
      </c>
      <c r="D220" s="3"/>
      <c r="E220" s="3"/>
      <c r="F220">
        <f>IF(ISNUMBER(SEARCH("BB",BrachyTxs[[#This Row],[Physicist(s)]])),1,0)</f>
        <v>0</v>
      </c>
      <c r="G220" s="3">
        <f>IF(ISNUMBER(SEARCH("DZ",BrachyTxs[[#This Row],[Physicist(s)]])),1,0)</f>
        <v>0</v>
      </c>
      <c r="H220" s="3">
        <f>IF(ISNUMBER(SEARCH("ZC",BrachyTxs[[#This Row],[Physicist(s)]])),1,0)</f>
        <v>0</v>
      </c>
      <c r="I220" s="3">
        <f>IF(ISNUMBER(SEARCH("DJ",BrachyTxs[[#This Row],[MD(s)]])),1,0)</f>
        <v>0</v>
      </c>
      <c r="J220" s="3">
        <f>IF(ISNUMBER(SEARCH("JS",BrachyTxs[[#This Row],[MD(s)]])),1,0)</f>
        <v>0</v>
      </c>
      <c r="K220" s="3"/>
      <c r="L220" s="3"/>
      <c r="M220" s="3"/>
      <c r="N220" s="3"/>
      <c r="O220" t="b">
        <f>ValidatePatient(BrachyTxs[[#This Row],[Pt]])</f>
        <v>1</v>
      </c>
      <c r="P220" t="b">
        <f>ValidatePhysicists(BrachyTxs[[#This Row],[Physicist(s)]])</f>
        <v>1</v>
      </c>
      <c r="Q220" t="b">
        <f>ValidateMDs(BrachyTxs[[#This Row],[MD(s)]])</f>
        <v>1</v>
      </c>
      <c r="S220" s="3"/>
    </row>
    <row r="221" spans="1:19" x14ac:dyDescent="0.25">
      <c r="A221" t="s">
        <v>323</v>
      </c>
      <c r="B221" s="1">
        <v>41031</v>
      </c>
      <c r="C221" s="2" t="s">
        <v>203</v>
      </c>
      <c r="D221" s="3"/>
      <c r="E221" s="3"/>
      <c r="F221">
        <f>IF(ISNUMBER(SEARCH("BB",BrachyTxs[[#This Row],[Physicist(s)]])),1,0)</f>
        <v>0</v>
      </c>
      <c r="G221" s="3">
        <f>IF(ISNUMBER(SEARCH("DZ",BrachyTxs[[#This Row],[Physicist(s)]])),1,0)</f>
        <v>0</v>
      </c>
      <c r="H221" s="3">
        <f>IF(ISNUMBER(SEARCH("ZC",BrachyTxs[[#This Row],[Physicist(s)]])),1,0)</f>
        <v>0</v>
      </c>
      <c r="I221" s="3">
        <f>IF(ISNUMBER(SEARCH("DJ",BrachyTxs[[#This Row],[MD(s)]])),1,0)</f>
        <v>0</v>
      </c>
      <c r="J221" s="3">
        <f>IF(ISNUMBER(SEARCH("JS",BrachyTxs[[#This Row],[MD(s)]])),1,0)</f>
        <v>0</v>
      </c>
      <c r="K221" s="3"/>
      <c r="L221" s="3"/>
      <c r="M221" s="3"/>
      <c r="N221" s="3"/>
      <c r="O221" t="b">
        <f>ValidatePatient(BrachyTxs[[#This Row],[Pt]])</f>
        <v>1</v>
      </c>
      <c r="P221" t="b">
        <f>ValidatePhysicists(BrachyTxs[[#This Row],[Physicist(s)]])</f>
        <v>1</v>
      </c>
      <c r="Q221" t="b">
        <f>ValidateMDs(BrachyTxs[[#This Row],[MD(s)]])</f>
        <v>1</v>
      </c>
      <c r="S221" s="3"/>
    </row>
    <row r="222" spans="1:19" x14ac:dyDescent="0.25">
      <c r="A222" t="s">
        <v>323</v>
      </c>
      <c r="B222" s="1">
        <v>41034</v>
      </c>
      <c r="C222" s="2" t="s">
        <v>51</v>
      </c>
      <c r="D222" s="3"/>
      <c r="E222" s="3"/>
      <c r="F222">
        <f>IF(ISNUMBER(SEARCH("BB",BrachyTxs[[#This Row],[Physicist(s)]])),1,0)</f>
        <v>0</v>
      </c>
      <c r="G222" s="3">
        <f>IF(ISNUMBER(SEARCH("DZ",BrachyTxs[[#This Row],[Physicist(s)]])),1,0)</f>
        <v>0</v>
      </c>
      <c r="H222" s="3">
        <f>IF(ISNUMBER(SEARCH("ZC",BrachyTxs[[#This Row],[Physicist(s)]])),1,0)</f>
        <v>0</v>
      </c>
      <c r="I222" s="3">
        <f>IF(ISNUMBER(SEARCH("DJ",BrachyTxs[[#This Row],[MD(s)]])),1,0)</f>
        <v>0</v>
      </c>
      <c r="J222" s="3">
        <f>IF(ISNUMBER(SEARCH("JS",BrachyTxs[[#This Row],[MD(s)]])),1,0)</f>
        <v>0</v>
      </c>
      <c r="K222" s="3"/>
      <c r="L222" s="3"/>
      <c r="M222" s="3"/>
      <c r="N222" s="3"/>
      <c r="O222" t="b">
        <f>ValidatePatient(BrachyTxs[[#This Row],[Pt]])</f>
        <v>1</v>
      </c>
      <c r="P222" t="b">
        <f>ValidatePhysicists(BrachyTxs[[#This Row],[Physicist(s)]])</f>
        <v>1</v>
      </c>
      <c r="Q222" t="b">
        <f>ValidateMDs(BrachyTxs[[#This Row],[MD(s)]])</f>
        <v>1</v>
      </c>
      <c r="S222" s="3"/>
    </row>
    <row r="223" spans="1:19" x14ac:dyDescent="0.25">
      <c r="A223" t="s">
        <v>323</v>
      </c>
      <c r="B223" s="1">
        <v>41044</v>
      </c>
      <c r="C223" s="2" t="s">
        <v>51</v>
      </c>
      <c r="D223" s="3"/>
      <c r="E223" s="3"/>
      <c r="F223">
        <f>IF(ISNUMBER(SEARCH("BB",BrachyTxs[[#This Row],[Physicist(s)]])),1,0)</f>
        <v>0</v>
      </c>
      <c r="G223" s="3">
        <f>IF(ISNUMBER(SEARCH("DZ",BrachyTxs[[#This Row],[Physicist(s)]])),1,0)</f>
        <v>0</v>
      </c>
      <c r="H223" s="3">
        <f>IF(ISNUMBER(SEARCH("ZC",BrachyTxs[[#This Row],[Physicist(s)]])),1,0)</f>
        <v>0</v>
      </c>
      <c r="I223" s="3">
        <f>IF(ISNUMBER(SEARCH("DJ",BrachyTxs[[#This Row],[MD(s)]])),1,0)</f>
        <v>0</v>
      </c>
      <c r="J223" s="3">
        <f>IF(ISNUMBER(SEARCH("JS",BrachyTxs[[#This Row],[MD(s)]])),1,0)</f>
        <v>0</v>
      </c>
      <c r="K223" s="3"/>
      <c r="L223" s="3"/>
      <c r="M223" s="3"/>
      <c r="N223" s="3"/>
      <c r="O223" t="b">
        <f>ValidatePatient(BrachyTxs[[#This Row],[Pt]])</f>
        <v>1</v>
      </c>
      <c r="P223" t="b">
        <f>ValidatePhysicists(BrachyTxs[[#This Row],[Physicist(s)]])</f>
        <v>1</v>
      </c>
      <c r="Q223" t="b">
        <f>ValidateMDs(BrachyTxs[[#This Row],[MD(s)]])</f>
        <v>1</v>
      </c>
      <c r="S223" s="3"/>
    </row>
    <row r="224" spans="1:19" x14ac:dyDescent="0.25">
      <c r="A224" t="s">
        <v>325</v>
      </c>
      <c r="B224" s="1">
        <v>41050</v>
      </c>
      <c r="C224" s="2" t="s">
        <v>81</v>
      </c>
      <c r="D224" s="3"/>
      <c r="E224" s="3"/>
      <c r="F224">
        <f>IF(ISNUMBER(SEARCH("BB",BrachyTxs[[#This Row],[Physicist(s)]])),1,0)</f>
        <v>0</v>
      </c>
      <c r="G224" s="3">
        <f>IF(ISNUMBER(SEARCH("DZ",BrachyTxs[[#This Row],[Physicist(s)]])),1,0)</f>
        <v>0</v>
      </c>
      <c r="H224" s="3">
        <f>IF(ISNUMBER(SEARCH("ZC",BrachyTxs[[#This Row],[Physicist(s)]])),1,0)</f>
        <v>0</v>
      </c>
      <c r="I224" s="3">
        <f>IF(ISNUMBER(SEARCH("DJ",BrachyTxs[[#This Row],[MD(s)]])),1,0)</f>
        <v>0</v>
      </c>
      <c r="J224" s="3">
        <f>IF(ISNUMBER(SEARCH("JS",BrachyTxs[[#This Row],[MD(s)]])),1,0)</f>
        <v>0</v>
      </c>
      <c r="K224" s="3"/>
      <c r="L224" s="3"/>
      <c r="M224" s="3"/>
      <c r="N224" s="3"/>
      <c r="O224" t="b">
        <f>ValidatePatient(BrachyTxs[[#This Row],[Pt]])</f>
        <v>1</v>
      </c>
      <c r="P224" t="b">
        <f>ValidatePhysicists(BrachyTxs[[#This Row],[Physicist(s)]])</f>
        <v>1</v>
      </c>
      <c r="Q224" t="b">
        <f>ValidateMDs(BrachyTxs[[#This Row],[MD(s)]])</f>
        <v>1</v>
      </c>
      <c r="S224" s="3"/>
    </row>
    <row r="225" spans="1:19" x14ac:dyDescent="0.25">
      <c r="A225" t="s">
        <v>324</v>
      </c>
      <c r="B225" s="1">
        <v>41051</v>
      </c>
      <c r="C225" s="2" t="s">
        <v>164</v>
      </c>
      <c r="D225" s="3"/>
      <c r="E225" s="3"/>
      <c r="F225">
        <f>IF(ISNUMBER(SEARCH("BB",BrachyTxs[[#This Row],[Physicist(s)]])),1,0)</f>
        <v>0</v>
      </c>
      <c r="G225" s="3">
        <f>IF(ISNUMBER(SEARCH("DZ",BrachyTxs[[#This Row],[Physicist(s)]])),1,0)</f>
        <v>0</v>
      </c>
      <c r="H225" s="3">
        <f>IF(ISNUMBER(SEARCH("ZC",BrachyTxs[[#This Row],[Physicist(s)]])),1,0)</f>
        <v>0</v>
      </c>
      <c r="I225" s="3">
        <f>IF(ISNUMBER(SEARCH("DJ",BrachyTxs[[#This Row],[MD(s)]])),1,0)</f>
        <v>0</v>
      </c>
      <c r="J225" s="3">
        <f>IF(ISNUMBER(SEARCH("JS",BrachyTxs[[#This Row],[MD(s)]])),1,0)</f>
        <v>0</v>
      </c>
      <c r="K225" s="3"/>
      <c r="L225" s="3"/>
      <c r="M225" s="3"/>
      <c r="N225" s="3"/>
      <c r="O225" t="b">
        <f>ValidatePatient(BrachyTxs[[#This Row],[Pt]])</f>
        <v>1</v>
      </c>
      <c r="P225" t="b">
        <f>ValidatePhysicists(BrachyTxs[[#This Row],[Physicist(s)]])</f>
        <v>1</v>
      </c>
      <c r="Q225" t="b">
        <f>ValidateMDs(BrachyTxs[[#This Row],[MD(s)]])</f>
        <v>1</v>
      </c>
      <c r="S225" s="3"/>
    </row>
    <row r="226" spans="1:19" x14ac:dyDescent="0.25">
      <c r="A226" t="s">
        <v>325</v>
      </c>
      <c r="B226" s="1">
        <v>41053</v>
      </c>
      <c r="C226" s="2" t="s">
        <v>41</v>
      </c>
      <c r="D226" s="3"/>
      <c r="E226" s="3"/>
      <c r="F226">
        <f>IF(ISNUMBER(SEARCH("BB",BrachyTxs[[#This Row],[Physicist(s)]])),1,0)</f>
        <v>0</v>
      </c>
      <c r="G226" s="3">
        <f>IF(ISNUMBER(SEARCH("DZ",BrachyTxs[[#This Row],[Physicist(s)]])),1,0)</f>
        <v>0</v>
      </c>
      <c r="H226" s="3">
        <f>IF(ISNUMBER(SEARCH("ZC",BrachyTxs[[#This Row],[Physicist(s)]])),1,0)</f>
        <v>0</v>
      </c>
      <c r="I226" s="3">
        <f>IF(ISNUMBER(SEARCH("DJ",BrachyTxs[[#This Row],[MD(s)]])),1,0)</f>
        <v>0</v>
      </c>
      <c r="J226" s="3">
        <f>IF(ISNUMBER(SEARCH("JS",BrachyTxs[[#This Row],[MD(s)]])),1,0)</f>
        <v>0</v>
      </c>
      <c r="K226" s="3"/>
      <c r="L226" s="3"/>
      <c r="M226" s="3"/>
      <c r="N226" s="3"/>
      <c r="O226" t="b">
        <f>ValidatePatient(BrachyTxs[[#This Row],[Pt]])</f>
        <v>1</v>
      </c>
      <c r="P226" t="b">
        <f>ValidatePhysicists(BrachyTxs[[#This Row],[Physicist(s)]])</f>
        <v>1</v>
      </c>
      <c r="Q226" t="b">
        <f>ValidateMDs(BrachyTxs[[#This Row],[MD(s)]])</f>
        <v>1</v>
      </c>
      <c r="S226" s="3"/>
    </row>
    <row r="227" spans="1:19" x14ac:dyDescent="0.25">
      <c r="A227" t="s">
        <v>325</v>
      </c>
      <c r="B227" s="1">
        <v>41088</v>
      </c>
      <c r="C227" s="2" t="s">
        <v>209</v>
      </c>
      <c r="D227" s="3"/>
      <c r="E227" s="3"/>
      <c r="F227">
        <f>IF(ISNUMBER(SEARCH("BB",BrachyTxs[[#This Row],[Physicist(s)]])),1,0)</f>
        <v>0</v>
      </c>
      <c r="G227" s="3">
        <f>IF(ISNUMBER(SEARCH("DZ",BrachyTxs[[#This Row],[Physicist(s)]])),1,0)</f>
        <v>0</v>
      </c>
      <c r="H227" s="3">
        <f>IF(ISNUMBER(SEARCH("ZC",BrachyTxs[[#This Row],[Physicist(s)]])),1,0)</f>
        <v>0</v>
      </c>
      <c r="I227" s="3">
        <f>IF(ISNUMBER(SEARCH("DJ",BrachyTxs[[#This Row],[MD(s)]])),1,0)</f>
        <v>0</v>
      </c>
      <c r="J227" s="3">
        <f>IF(ISNUMBER(SEARCH("JS",BrachyTxs[[#This Row],[MD(s)]])),1,0)</f>
        <v>0</v>
      </c>
      <c r="K227" s="3"/>
      <c r="L227" s="3"/>
      <c r="M227" s="3"/>
      <c r="N227" s="3"/>
      <c r="O227" t="b">
        <f>ValidatePatient(BrachyTxs[[#This Row],[Pt]])</f>
        <v>1</v>
      </c>
      <c r="P227" t="b">
        <f>ValidatePhysicists(BrachyTxs[[#This Row],[Physicist(s)]])</f>
        <v>1</v>
      </c>
      <c r="Q227" t="b">
        <f>ValidateMDs(BrachyTxs[[#This Row],[MD(s)]])</f>
        <v>1</v>
      </c>
      <c r="S227" s="3"/>
    </row>
    <row r="228" spans="1:19" x14ac:dyDescent="0.25">
      <c r="A228" t="s">
        <v>325</v>
      </c>
      <c r="B228" s="1">
        <v>41092</v>
      </c>
      <c r="C228" s="2" t="s">
        <v>10</v>
      </c>
      <c r="D228" s="3"/>
      <c r="E228" s="3"/>
      <c r="F228">
        <f>IF(ISNUMBER(SEARCH("BB",BrachyTxs[[#This Row],[Physicist(s)]])),1,0)</f>
        <v>0</v>
      </c>
      <c r="G228" s="3">
        <f>IF(ISNUMBER(SEARCH("DZ",BrachyTxs[[#This Row],[Physicist(s)]])),1,0)</f>
        <v>0</v>
      </c>
      <c r="H228" s="3">
        <f>IF(ISNUMBER(SEARCH("ZC",BrachyTxs[[#This Row],[Physicist(s)]])),1,0)</f>
        <v>0</v>
      </c>
      <c r="I228" s="3">
        <f>IF(ISNUMBER(SEARCH("DJ",BrachyTxs[[#This Row],[MD(s)]])),1,0)</f>
        <v>0</v>
      </c>
      <c r="J228" s="3">
        <f>IF(ISNUMBER(SEARCH("JS",BrachyTxs[[#This Row],[MD(s)]])),1,0)</f>
        <v>0</v>
      </c>
      <c r="K228" s="3"/>
      <c r="L228" s="3"/>
      <c r="M228" s="3"/>
      <c r="N228" s="3"/>
      <c r="O228" t="b">
        <f>ValidatePatient(BrachyTxs[[#This Row],[Pt]])</f>
        <v>1</v>
      </c>
      <c r="P228" t="b">
        <f>ValidatePhysicists(BrachyTxs[[#This Row],[Physicist(s)]])</f>
        <v>1</v>
      </c>
      <c r="Q228" t="b">
        <f>ValidateMDs(BrachyTxs[[#This Row],[MD(s)]])</f>
        <v>1</v>
      </c>
      <c r="S228" s="3"/>
    </row>
    <row r="229" spans="1:19" x14ac:dyDescent="0.25">
      <c r="A229" t="s">
        <v>325</v>
      </c>
      <c r="B229" s="1">
        <v>41102</v>
      </c>
      <c r="C229" s="2" t="s">
        <v>222</v>
      </c>
      <c r="D229" s="3"/>
      <c r="E229" s="3"/>
      <c r="F229">
        <f>IF(ISNUMBER(SEARCH("BB",BrachyTxs[[#This Row],[Physicist(s)]])),1,0)</f>
        <v>0</v>
      </c>
      <c r="G229" s="3">
        <f>IF(ISNUMBER(SEARCH("DZ",BrachyTxs[[#This Row],[Physicist(s)]])),1,0)</f>
        <v>0</v>
      </c>
      <c r="H229" s="3">
        <f>IF(ISNUMBER(SEARCH("ZC",BrachyTxs[[#This Row],[Physicist(s)]])),1,0)</f>
        <v>0</v>
      </c>
      <c r="I229" s="3">
        <f>IF(ISNUMBER(SEARCH("DJ",BrachyTxs[[#This Row],[MD(s)]])),1,0)</f>
        <v>0</v>
      </c>
      <c r="J229" s="3">
        <f>IF(ISNUMBER(SEARCH("JS",BrachyTxs[[#This Row],[MD(s)]])),1,0)</f>
        <v>0</v>
      </c>
      <c r="K229" s="3"/>
      <c r="L229" s="3"/>
      <c r="M229" s="3"/>
      <c r="N229" s="3"/>
      <c r="O229" t="b">
        <f>ValidatePatient(BrachyTxs[[#This Row],[Pt]])</f>
        <v>1</v>
      </c>
      <c r="P229" t="b">
        <f>ValidatePhysicists(BrachyTxs[[#This Row],[Physicist(s)]])</f>
        <v>1</v>
      </c>
      <c r="Q229" t="b">
        <f>ValidateMDs(BrachyTxs[[#This Row],[MD(s)]])</f>
        <v>1</v>
      </c>
      <c r="S229" s="3"/>
    </row>
    <row r="230" spans="1:19" x14ac:dyDescent="0.25">
      <c r="A230" t="s">
        <v>325</v>
      </c>
      <c r="B230" s="1">
        <v>41128</v>
      </c>
      <c r="C230" s="2" t="s">
        <v>88</v>
      </c>
      <c r="D230" s="3"/>
      <c r="E230" s="3"/>
      <c r="F230">
        <f>IF(ISNUMBER(SEARCH("BB",BrachyTxs[[#This Row],[Physicist(s)]])),1,0)</f>
        <v>0</v>
      </c>
      <c r="G230" s="3">
        <f>IF(ISNUMBER(SEARCH("DZ",BrachyTxs[[#This Row],[Physicist(s)]])),1,0)</f>
        <v>0</v>
      </c>
      <c r="H230" s="3">
        <f>IF(ISNUMBER(SEARCH("ZC",BrachyTxs[[#This Row],[Physicist(s)]])),1,0)</f>
        <v>0</v>
      </c>
      <c r="I230" s="3">
        <f>IF(ISNUMBER(SEARCH("DJ",BrachyTxs[[#This Row],[MD(s)]])),1,0)</f>
        <v>0</v>
      </c>
      <c r="J230" s="3">
        <f>IF(ISNUMBER(SEARCH("JS",BrachyTxs[[#This Row],[MD(s)]])),1,0)</f>
        <v>0</v>
      </c>
      <c r="K230" s="3"/>
      <c r="L230" s="3"/>
      <c r="M230" s="3"/>
      <c r="N230" s="3"/>
      <c r="O230" t="b">
        <f>ValidatePatient(BrachyTxs[[#This Row],[Pt]])</f>
        <v>1</v>
      </c>
      <c r="P230" t="b">
        <f>ValidatePhysicists(BrachyTxs[[#This Row],[Physicist(s)]])</f>
        <v>1</v>
      </c>
      <c r="Q230" t="b">
        <f>ValidateMDs(BrachyTxs[[#This Row],[MD(s)]])</f>
        <v>1</v>
      </c>
      <c r="S230" s="3"/>
    </row>
    <row r="231" spans="1:19" x14ac:dyDescent="0.25">
      <c r="A231" t="s">
        <v>323</v>
      </c>
      <c r="B231" s="1">
        <v>41158</v>
      </c>
      <c r="C231" s="2" t="s">
        <v>251</v>
      </c>
      <c r="D231" s="3"/>
      <c r="E231" s="3"/>
      <c r="F231">
        <f>IF(ISNUMBER(SEARCH("BB",BrachyTxs[[#This Row],[Physicist(s)]])),1,0)</f>
        <v>0</v>
      </c>
      <c r="G231" s="3">
        <f>IF(ISNUMBER(SEARCH("DZ",BrachyTxs[[#This Row],[Physicist(s)]])),1,0)</f>
        <v>0</v>
      </c>
      <c r="H231" s="3">
        <f>IF(ISNUMBER(SEARCH("ZC",BrachyTxs[[#This Row],[Physicist(s)]])),1,0)</f>
        <v>0</v>
      </c>
      <c r="I231" s="3">
        <f>IF(ISNUMBER(SEARCH("DJ",BrachyTxs[[#This Row],[MD(s)]])),1,0)</f>
        <v>0</v>
      </c>
      <c r="J231" s="3">
        <f>IF(ISNUMBER(SEARCH("JS",BrachyTxs[[#This Row],[MD(s)]])),1,0)</f>
        <v>0</v>
      </c>
      <c r="K231" s="3"/>
      <c r="L231" s="3"/>
      <c r="M231" s="3"/>
      <c r="N231" s="3"/>
      <c r="O231" t="b">
        <f>ValidatePatient(BrachyTxs[[#This Row],[Pt]])</f>
        <v>1</v>
      </c>
      <c r="P231" t="b">
        <f>ValidatePhysicists(BrachyTxs[[#This Row],[Physicist(s)]])</f>
        <v>1</v>
      </c>
      <c r="Q231" t="b">
        <f>ValidateMDs(BrachyTxs[[#This Row],[MD(s)]])</f>
        <v>1</v>
      </c>
      <c r="S231" s="3"/>
    </row>
    <row r="232" spans="1:19" x14ac:dyDescent="0.25">
      <c r="A232" t="s">
        <v>325</v>
      </c>
      <c r="B232" s="1">
        <v>41197</v>
      </c>
      <c r="C232" s="2" t="s">
        <v>49</v>
      </c>
      <c r="D232" s="3"/>
      <c r="E232" s="3"/>
      <c r="F232">
        <f>IF(ISNUMBER(SEARCH("BB",BrachyTxs[[#This Row],[Physicist(s)]])),1,0)</f>
        <v>0</v>
      </c>
      <c r="G232" s="3">
        <f>IF(ISNUMBER(SEARCH("DZ",BrachyTxs[[#This Row],[Physicist(s)]])),1,0)</f>
        <v>0</v>
      </c>
      <c r="H232" s="3">
        <f>IF(ISNUMBER(SEARCH("ZC",BrachyTxs[[#This Row],[Physicist(s)]])),1,0)</f>
        <v>0</v>
      </c>
      <c r="I232" s="3">
        <f>IF(ISNUMBER(SEARCH("DJ",BrachyTxs[[#This Row],[MD(s)]])),1,0)</f>
        <v>0</v>
      </c>
      <c r="J232" s="3">
        <f>IF(ISNUMBER(SEARCH("JS",BrachyTxs[[#This Row],[MD(s)]])),1,0)</f>
        <v>0</v>
      </c>
      <c r="K232" s="3"/>
      <c r="L232" s="3"/>
      <c r="M232" s="3"/>
      <c r="N232" s="3"/>
      <c r="O232" t="b">
        <f>ValidatePatient(BrachyTxs[[#This Row],[Pt]])</f>
        <v>1</v>
      </c>
      <c r="P232" t="b">
        <f>ValidatePhysicists(BrachyTxs[[#This Row],[Physicist(s)]])</f>
        <v>1</v>
      </c>
      <c r="Q232" t="b">
        <f>ValidateMDs(BrachyTxs[[#This Row],[MD(s)]])</f>
        <v>1</v>
      </c>
      <c r="S232" s="3"/>
    </row>
    <row r="233" spans="1:19" x14ac:dyDescent="0.25">
      <c r="A233" t="s">
        <v>324</v>
      </c>
      <c r="B233" s="1">
        <v>41206</v>
      </c>
      <c r="C233" s="2" t="s">
        <v>38</v>
      </c>
      <c r="D233" s="3"/>
      <c r="E233" s="3"/>
      <c r="F233">
        <f>IF(ISNUMBER(SEARCH("BB",BrachyTxs[[#This Row],[Physicist(s)]])),1,0)</f>
        <v>0</v>
      </c>
      <c r="G233" s="3">
        <f>IF(ISNUMBER(SEARCH("DZ",BrachyTxs[[#This Row],[Physicist(s)]])),1,0)</f>
        <v>0</v>
      </c>
      <c r="H233" s="3">
        <f>IF(ISNUMBER(SEARCH("ZC",BrachyTxs[[#This Row],[Physicist(s)]])),1,0)</f>
        <v>0</v>
      </c>
      <c r="I233" s="3">
        <f>IF(ISNUMBER(SEARCH("DJ",BrachyTxs[[#This Row],[MD(s)]])),1,0)</f>
        <v>0</v>
      </c>
      <c r="J233" s="3">
        <f>IF(ISNUMBER(SEARCH("JS",BrachyTxs[[#This Row],[MD(s)]])),1,0)</f>
        <v>0</v>
      </c>
      <c r="K233" s="3"/>
      <c r="L233" s="3"/>
      <c r="M233" s="3"/>
      <c r="N233" s="3"/>
      <c r="O233" t="b">
        <f>ValidatePatient(BrachyTxs[[#This Row],[Pt]])</f>
        <v>1</v>
      </c>
      <c r="P233" t="b">
        <f>ValidatePhysicists(BrachyTxs[[#This Row],[Physicist(s)]])</f>
        <v>1</v>
      </c>
      <c r="Q233" t="b">
        <f>ValidateMDs(BrachyTxs[[#This Row],[MD(s)]])</f>
        <v>1</v>
      </c>
      <c r="S233" s="3"/>
    </row>
    <row r="234" spans="1:19" x14ac:dyDescent="0.25">
      <c r="A234" t="s">
        <v>323</v>
      </c>
      <c r="B234" s="1">
        <v>41221</v>
      </c>
      <c r="C234" s="2" t="s">
        <v>18</v>
      </c>
      <c r="D234" s="3"/>
      <c r="E234" s="3"/>
      <c r="F234">
        <f>IF(ISNUMBER(SEARCH("BB",BrachyTxs[[#This Row],[Physicist(s)]])),1,0)</f>
        <v>0</v>
      </c>
      <c r="G234" s="3">
        <f>IF(ISNUMBER(SEARCH("DZ",BrachyTxs[[#This Row],[Physicist(s)]])),1,0)</f>
        <v>0</v>
      </c>
      <c r="H234" s="3">
        <f>IF(ISNUMBER(SEARCH("ZC",BrachyTxs[[#This Row],[Physicist(s)]])),1,0)</f>
        <v>0</v>
      </c>
      <c r="I234" s="3">
        <f>IF(ISNUMBER(SEARCH("DJ",BrachyTxs[[#This Row],[MD(s)]])),1,0)</f>
        <v>0</v>
      </c>
      <c r="J234" s="3">
        <f>IF(ISNUMBER(SEARCH("JS",BrachyTxs[[#This Row],[MD(s)]])),1,0)</f>
        <v>0</v>
      </c>
      <c r="K234" s="3"/>
      <c r="L234" s="3"/>
      <c r="M234" s="3"/>
      <c r="N234" s="3"/>
      <c r="O234" t="b">
        <f>ValidatePatient(BrachyTxs[[#This Row],[Pt]])</f>
        <v>1</v>
      </c>
      <c r="P234" t="b">
        <f>ValidatePhysicists(BrachyTxs[[#This Row],[Physicist(s)]])</f>
        <v>1</v>
      </c>
      <c r="Q234" t="b">
        <f>ValidateMDs(BrachyTxs[[#This Row],[MD(s)]])</f>
        <v>1</v>
      </c>
      <c r="S234" s="3"/>
    </row>
    <row r="235" spans="1:19" x14ac:dyDescent="0.25">
      <c r="A235" t="s">
        <v>325</v>
      </c>
      <c r="B235" s="1">
        <v>41227</v>
      </c>
      <c r="C235" s="2" t="s">
        <v>195</v>
      </c>
      <c r="D235" s="3"/>
      <c r="E235" s="3"/>
      <c r="F235">
        <f>IF(ISNUMBER(SEARCH("BB",BrachyTxs[[#This Row],[Physicist(s)]])),1,0)</f>
        <v>0</v>
      </c>
      <c r="G235" s="3">
        <f>IF(ISNUMBER(SEARCH("DZ",BrachyTxs[[#This Row],[Physicist(s)]])),1,0)</f>
        <v>0</v>
      </c>
      <c r="H235" s="3">
        <f>IF(ISNUMBER(SEARCH("ZC",BrachyTxs[[#This Row],[Physicist(s)]])),1,0)</f>
        <v>0</v>
      </c>
      <c r="I235" s="3">
        <f>IF(ISNUMBER(SEARCH("DJ",BrachyTxs[[#This Row],[MD(s)]])),1,0)</f>
        <v>0</v>
      </c>
      <c r="J235" s="3">
        <f>IF(ISNUMBER(SEARCH("JS",BrachyTxs[[#This Row],[MD(s)]])),1,0)</f>
        <v>0</v>
      </c>
      <c r="K235" s="3"/>
      <c r="L235" s="3"/>
      <c r="M235" s="3"/>
      <c r="N235" s="3"/>
      <c r="O235" t="b">
        <f>ValidatePatient(BrachyTxs[[#This Row],[Pt]])</f>
        <v>1</v>
      </c>
      <c r="P235" t="b">
        <f>ValidatePhysicists(BrachyTxs[[#This Row],[Physicist(s)]])</f>
        <v>1</v>
      </c>
      <c r="Q235" t="b">
        <f>ValidateMDs(BrachyTxs[[#This Row],[MD(s)]])</f>
        <v>1</v>
      </c>
      <c r="S235" s="3"/>
    </row>
    <row r="236" spans="1:19" x14ac:dyDescent="0.25">
      <c r="A236" t="s">
        <v>324</v>
      </c>
      <c r="B236" s="1">
        <v>41241</v>
      </c>
      <c r="C236" s="2" t="s">
        <v>38</v>
      </c>
      <c r="D236" s="3"/>
      <c r="E236" s="3"/>
      <c r="F236">
        <f>IF(ISNUMBER(SEARCH("BB",BrachyTxs[[#This Row],[Physicist(s)]])),1,0)</f>
        <v>0</v>
      </c>
      <c r="G236" s="3">
        <f>IF(ISNUMBER(SEARCH("DZ",BrachyTxs[[#This Row],[Physicist(s)]])),1,0)</f>
        <v>0</v>
      </c>
      <c r="H236" s="3">
        <f>IF(ISNUMBER(SEARCH("ZC",BrachyTxs[[#This Row],[Physicist(s)]])),1,0)</f>
        <v>0</v>
      </c>
      <c r="I236" s="3">
        <f>IF(ISNUMBER(SEARCH("DJ",BrachyTxs[[#This Row],[MD(s)]])),1,0)</f>
        <v>0</v>
      </c>
      <c r="J236" s="3">
        <f>IF(ISNUMBER(SEARCH("JS",BrachyTxs[[#This Row],[MD(s)]])),1,0)</f>
        <v>0</v>
      </c>
      <c r="K236" s="3"/>
      <c r="L236" s="3"/>
      <c r="M236" s="3"/>
      <c r="N236" s="3"/>
      <c r="O236" t="b">
        <f>ValidatePatient(BrachyTxs[[#This Row],[Pt]])</f>
        <v>1</v>
      </c>
      <c r="P236" t="b">
        <f>ValidatePhysicists(BrachyTxs[[#This Row],[Physicist(s)]])</f>
        <v>1</v>
      </c>
      <c r="Q236" t="b">
        <f>ValidateMDs(BrachyTxs[[#This Row],[MD(s)]])</f>
        <v>1</v>
      </c>
      <c r="S236" s="3"/>
    </row>
    <row r="237" spans="1:19" x14ac:dyDescent="0.25">
      <c r="A237" t="s">
        <v>323</v>
      </c>
      <c r="B237" s="1">
        <v>41282</v>
      </c>
      <c r="C237" s="2" t="s">
        <v>228</v>
      </c>
      <c r="D237" s="3" t="s">
        <v>332</v>
      </c>
      <c r="E237" s="3"/>
      <c r="F237">
        <f>IF(ISNUMBER(SEARCH("BB",BrachyTxs[[#This Row],[Physicist(s)]])),1,0)</f>
        <v>1</v>
      </c>
      <c r="G237" s="3">
        <f>IF(ISNUMBER(SEARCH("DZ",BrachyTxs[[#This Row],[Physicist(s)]])),1,0)</f>
        <v>0</v>
      </c>
      <c r="H237" s="3">
        <f>IF(ISNUMBER(SEARCH("ZC",BrachyTxs[[#This Row],[Physicist(s)]])),1,0)</f>
        <v>0</v>
      </c>
      <c r="I237" s="3">
        <f>IF(ISNUMBER(SEARCH("DJ",BrachyTxs[[#This Row],[MD(s)]])),1,0)</f>
        <v>0</v>
      </c>
      <c r="J237" s="3">
        <f>IF(ISNUMBER(SEARCH("JS",BrachyTxs[[#This Row],[MD(s)]])),1,0)</f>
        <v>0</v>
      </c>
      <c r="K237" s="3"/>
      <c r="L237" s="3"/>
      <c r="M237" s="3"/>
      <c r="N237" s="3"/>
      <c r="O237" t="b">
        <f>ValidatePatient(BrachyTxs[[#This Row],[Pt]])</f>
        <v>1</v>
      </c>
      <c r="P237" t="b">
        <f>ValidatePhysicists(BrachyTxs[[#This Row],[Physicist(s)]])</f>
        <v>0</v>
      </c>
      <c r="Q237" t="b">
        <f>ValidateMDs(BrachyTxs[[#This Row],[MD(s)]])</f>
        <v>1</v>
      </c>
      <c r="S237" s="3"/>
    </row>
    <row r="238" spans="1:19" x14ac:dyDescent="0.25">
      <c r="A238" t="s">
        <v>325</v>
      </c>
      <c r="B238" s="1">
        <v>41283</v>
      </c>
      <c r="C238" s="2" t="s">
        <v>21</v>
      </c>
      <c r="D238" s="3"/>
      <c r="E238" s="3"/>
      <c r="F238">
        <f>IF(ISNUMBER(SEARCH("BB",BrachyTxs[[#This Row],[Physicist(s)]])),1,0)</f>
        <v>0</v>
      </c>
      <c r="G238" s="3">
        <f>IF(ISNUMBER(SEARCH("DZ",BrachyTxs[[#This Row],[Physicist(s)]])),1,0)</f>
        <v>0</v>
      </c>
      <c r="H238" s="3">
        <f>IF(ISNUMBER(SEARCH("ZC",BrachyTxs[[#This Row],[Physicist(s)]])),1,0)</f>
        <v>0</v>
      </c>
      <c r="I238" s="3">
        <f>IF(ISNUMBER(SEARCH("DJ",BrachyTxs[[#This Row],[MD(s)]])),1,0)</f>
        <v>0</v>
      </c>
      <c r="J238" s="3">
        <f>IF(ISNUMBER(SEARCH("JS",BrachyTxs[[#This Row],[MD(s)]])),1,0)</f>
        <v>0</v>
      </c>
      <c r="K238" s="3"/>
      <c r="L238" s="3"/>
      <c r="M238" s="3"/>
      <c r="N238" s="3"/>
      <c r="O238" t="b">
        <f>ValidatePatient(BrachyTxs[[#This Row],[Pt]])</f>
        <v>1</v>
      </c>
      <c r="P238" t="b">
        <f>ValidatePhysicists(BrachyTxs[[#This Row],[Physicist(s)]])</f>
        <v>1</v>
      </c>
      <c r="Q238" t="b">
        <f>ValidateMDs(BrachyTxs[[#This Row],[MD(s)]])</f>
        <v>1</v>
      </c>
      <c r="S238" s="3"/>
    </row>
    <row r="239" spans="1:19" x14ac:dyDescent="0.25">
      <c r="A239" t="s">
        <v>324</v>
      </c>
      <c r="B239" s="1">
        <v>41317</v>
      </c>
      <c r="C239" s="2" t="s">
        <v>175</v>
      </c>
      <c r="D239" s="3"/>
      <c r="E239" s="3"/>
      <c r="F239">
        <f>IF(ISNUMBER(SEARCH("BB",BrachyTxs[[#This Row],[Physicist(s)]])),1,0)</f>
        <v>0</v>
      </c>
      <c r="G239" s="3">
        <f>IF(ISNUMBER(SEARCH("DZ",BrachyTxs[[#This Row],[Physicist(s)]])),1,0)</f>
        <v>0</v>
      </c>
      <c r="H239" s="3">
        <f>IF(ISNUMBER(SEARCH("ZC",BrachyTxs[[#This Row],[Physicist(s)]])),1,0)</f>
        <v>0</v>
      </c>
      <c r="I239" s="3">
        <f>IF(ISNUMBER(SEARCH("DJ",BrachyTxs[[#This Row],[MD(s)]])),1,0)</f>
        <v>0</v>
      </c>
      <c r="J239" s="3">
        <f>IF(ISNUMBER(SEARCH("JS",BrachyTxs[[#This Row],[MD(s)]])),1,0)</f>
        <v>0</v>
      </c>
      <c r="K239" s="3"/>
      <c r="L239" s="3"/>
      <c r="M239" s="3"/>
      <c r="N239" s="3"/>
      <c r="O239" t="b">
        <f>ValidatePatient(BrachyTxs[[#This Row],[Pt]])</f>
        <v>1</v>
      </c>
      <c r="P239" t="b">
        <f>ValidatePhysicists(BrachyTxs[[#This Row],[Physicist(s)]])</f>
        <v>1</v>
      </c>
      <c r="Q239" t="b">
        <f>ValidateMDs(BrachyTxs[[#This Row],[MD(s)]])</f>
        <v>1</v>
      </c>
      <c r="S239" s="3"/>
    </row>
    <row r="240" spans="1:19" x14ac:dyDescent="0.25">
      <c r="A240" t="s">
        <v>323</v>
      </c>
      <c r="B240" s="1">
        <v>41341</v>
      </c>
      <c r="C240" s="2" t="s">
        <v>249</v>
      </c>
      <c r="D240" s="3"/>
      <c r="E240" s="3"/>
      <c r="F240">
        <f>IF(ISNUMBER(SEARCH("BB",BrachyTxs[[#This Row],[Physicist(s)]])),1,0)</f>
        <v>0</v>
      </c>
      <c r="G240" s="3">
        <f>IF(ISNUMBER(SEARCH("DZ",BrachyTxs[[#This Row],[Physicist(s)]])),1,0)</f>
        <v>0</v>
      </c>
      <c r="H240" s="3">
        <f>IF(ISNUMBER(SEARCH("ZC",BrachyTxs[[#This Row],[Physicist(s)]])),1,0)</f>
        <v>0</v>
      </c>
      <c r="I240" s="3">
        <f>IF(ISNUMBER(SEARCH("DJ",BrachyTxs[[#This Row],[MD(s)]])),1,0)</f>
        <v>0</v>
      </c>
      <c r="J240" s="3">
        <f>IF(ISNUMBER(SEARCH("JS",BrachyTxs[[#This Row],[MD(s)]])),1,0)</f>
        <v>0</v>
      </c>
      <c r="K240" s="3"/>
      <c r="L240" s="3"/>
      <c r="M240" s="3"/>
      <c r="N240" s="3"/>
      <c r="O240" t="b">
        <f>ValidatePatient(BrachyTxs[[#This Row],[Pt]])</f>
        <v>1</v>
      </c>
      <c r="P240" t="b">
        <f>ValidatePhysicists(BrachyTxs[[#This Row],[Physicist(s)]])</f>
        <v>1</v>
      </c>
      <c r="Q240" t="b">
        <f>ValidateMDs(BrachyTxs[[#This Row],[MD(s)]])</f>
        <v>1</v>
      </c>
      <c r="S240" s="3"/>
    </row>
    <row r="241" spans="1:19" x14ac:dyDescent="0.25">
      <c r="A241" t="s">
        <v>325</v>
      </c>
      <c r="B241" s="1">
        <v>41359</v>
      </c>
      <c r="C241" s="2" t="s">
        <v>232</v>
      </c>
      <c r="D241" s="3"/>
      <c r="E241" s="3"/>
      <c r="F241">
        <f>IF(ISNUMBER(SEARCH("BB",BrachyTxs[[#This Row],[Physicist(s)]])),1,0)</f>
        <v>0</v>
      </c>
      <c r="G241" s="3">
        <f>IF(ISNUMBER(SEARCH("DZ",BrachyTxs[[#This Row],[Physicist(s)]])),1,0)</f>
        <v>0</v>
      </c>
      <c r="H241" s="3">
        <f>IF(ISNUMBER(SEARCH("ZC",BrachyTxs[[#This Row],[Physicist(s)]])),1,0)</f>
        <v>0</v>
      </c>
      <c r="I241" s="3">
        <f>IF(ISNUMBER(SEARCH("DJ",BrachyTxs[[#This Row],[MD(s)]])),1,0)</f>
        <v>0</v>
      </c>
      <c r="J241" s="3">
        <f>IF(ISNUMBER(SEARCH("JS",BrachyTxs[[#This Row],[MD(s)]])),1,0)</f>
        <v>0</v>
      </c>
      <c r="K241" s="3"/>
      <c r="L241" s="3"/>
      <c r="M241" s="3"/>
      <c r="N241" s="3"/>
      <c r="O241" t="b">
        <f>ValidatePatient(BrachyTxs[[#This Row],[Pt]])</f>
        <v>1</v>
      </c>
      <c r="P241" t="b">
        <f>ValidatePhysicists(BrachyTxs[[#This Row],[Physicist(s)]])</f>
        <v>1</v>
      </c>
      <c r="Q241" t="b">
        <f>ValidateMDs(BrachyTxs[[#This Row],[MD(s)]])</f>
        <v>1</v>
      </c>
      <c r="S241" s="3"/>
    </row>
    <row r="242" spans="1:19" x14ac:dyDescent="0.25">
      <c r="A242" t="s">
        <v>324</v>
      </c>
      <c r="B242" s="1">
        <v>41360</v>
      </c>
      <c r="C242" s="2" t="s">
        <v>64</v>
      </c>
      <c r="D242" s="3"/>
      <c r="E242" s="3"/>
      <c r="F242">
        <f>IF(ISNUMBER(SEARCH("BB",BrachyTxs[[#This Row],[Physicist(s)]])),1,0)</f>
        <v>0</v>
      </c>
      <c r="G242" s="3">
        <f>IF(ISNUMBER(SEARCH("DZ",BrachyTxs[[#This Row],[Physicist(s)]])),1,0)</f>
        <v>0</v>
      </c>
      <c r="H242" s="3">
        <f>IF(ISNUMBER(SEARCH("ZC",BrachyTxs[[#This Row],[Physicist(s)]])),1,0)</f>
        <v>0</v>
      </c>
      <c r="I242" s="3">
        <f>IF(ISNUMBER(SEARCH("DJ",BrachyTxs[[#This Row],[MD(s)]])),1,0)</f>
        <v>0</v>
      </c>
      <c r="J242" s="3">
        <f>IF(ISNUMBER(SEARCH("JS",BrachyTxs[[#This Row],[MD(s)]])),1,0)</f>
        <v>0</v>
      </c>
      <c r="K242" s="3"/>
      <c r="L242" s="3"/>
      <c r="M242" s="3"/>
      <c r="N242" s="3"/>
      <c r="O242" t="b">
        <f>ValidatePatient(BrachyTxs[[#This Row],[Pt]])</f>
        <v>1</v>
      </c>
      <c r="P242" t="b">
        <f>ValidatePhysicists(BrachyTxs[[#This Row],[Physicist(s)]])</f>
        <v>1</v>
      </c>
      <c r="Q242" t="b">
        <f>ValidateMDs(BrachyTxs[[#This Row],[MD(s)]])</f>
        <v>1</v>
      </c>
      <c r="S242" s="3"/>
    </row>
    <row r="243" spans="1:19" x14ac:dyDescent="0.25">
      <c r="A243" t="s">
        <v>323</v>
      </c>
      <c r="B243" s="1">
        <v>41388</v>
      </c>
      <c r="C243" s="2" t="s">
        <v>128</v>
      </c>
      <c r="D243" s="3"/>
      <c r="E243" s="3"/>
      <c r="F243">
        <f>IF(ISNUMBER(SEARCH("BB",BrachyTxs[[#This Row],[Physicist(s)]])),1,0)</f>
        <v>0</v>
      </c>
      <c r="G243" s="3">
        <f>IF(ISNUMBER(SEARCH("DZ",BrachyTxs[[#This Row],[Physicist(s)]])),1,0)</f>
        <v>0</v>
      </c>
      <c r="H243" s="3">
        <f>IF(ISNUMBER(SEARCH("ZC",BrachyTxs[[#This Row],[Physicist(s)]])),1,0)</f>
        <v>0</v>
      </c>
      <c r="I243" s="3">
        <f>IF(ISNUMBER(SEARCH("DJ",BrachyTxs[[#This Row],[MD(s)]])),1,0)</f>
        <v>0</v>
      </c>
      <c r="J243" s="3">
        <f>IF(ISNUMBER(SEARCH("JS",BrachyTxs[[#This Row],[MD(s)]])),1,0)</f>
        <v>0</v>
      </c>
      <c r="K243" s="3"/>
      <c r="L243" s="3"/>
      <c r="M243" s="3"/>
      <c r="N243" s="3"/>
      <c r="O243" t="b">
        <f>ValidatePatient(BrachyTxs[[#This Row],[Pt]])</f>
        <v>1</v>
      </c>
      <c r="P243" t="b">
        <f>ValidatePhysicists(BrachyTxs[[#This Row],[Physicist(s)]])</f>
        <v>1</v>
      </c>
      <c r="Q243" t="b">
        <f>ValidateMDs(BrachyTxs[[#This Row],[MD(s)]])</f>
        <v>1</v>
      </c>
      <c r="S243" s="3"/>
    </row>
    <row r="244" spans="1:19" x14ac:dyDescent="0.25">
      <c r="A244" t="s">
        <v>324</v>
      </c>
      <c r="B244" s="1">
        <v>41388</v>
      </c>
      <c r="C244" s="2" t="s">
        <v>308</v>
      </c>
      <c r="D244" s="3"/>
      <c r="E244" s="3"/>
      <c r="F244">
        <f>IF(ISNUMBER(SEARCH("BB",BrachyTxs[[#This Row],[Physicist(s)]])),1,0)</f>
        <v>0</v>
      </c>
      <c r="G244" s="3">
        <f>IF(ISNUMBER(SEARCH("DZ",BrachyTxs[[#This Row],[Physicist(s)]])),1,0)</f>
        <v>0</v>
      </c>
      <c r="H244" s="3">
        <f>IF(ISNUMBER(SEARCH("ZC",BrachyTxs[[#This Row],[Physicist(s)]])),1,0)</f>
        <v>0</v>
      </c>
      <c r="I244" s="3">
        <f>IF(ISNUMBER(SEARCH("DJ",BrachyTxs[[#This Row],[MD(s)]])),1,0)</f>
        <v>0</v>
      </c>
      <c r="J244" s="3">
        <f>IF(ISNUMBER(SEARCH("JS",BrachyTxs[[#This Row],[MD(s)]])),1,0)</f>
        <v>0</v>
      </c>
      <c r="K244" s="3"/>
      <c r="L244" s="3"/>
      <c r="M244" s="3"/>
      <c r="N244" s="3"/>
      <c r="O244" t="b">
        <f>ValidatePatient(BrachyTxs[[#This Row],[Pt]])</f>
        <v>1</v>
      </c>
      <c r="P244" t="b">
        <f>ValidatePhysicists(BrachyTxs[[#This Row],[Physicist(s)]])</f>
        <v>1</v>
      </c>
      <c r="Q244" t="b">
        <f>ValidateMDs(BrachyTxs[[#This Row],[MD(s)]])</f>
        <v>1</v>
      </c>
      <c r="S244" s="3"/>
    </row>
    <row r="245" spans="1:19" x14ac:dyDescent="0.25">
      <c r="A245" t="s">
        <v>323</v>
      </c>
      <c r="B245" s="1">
        <v>41390</v>
      </c>
      <c r="C245" s="2" t="s">
        <v>242</v>
      </c>
      <c r="D245" s="3"/>
      <c r="E245" s="3"/>
      <c r="F245">
        <f>IF(ISNUMBER(SEARCH("BB",BrachyTxs[[#This Row],[Physicist(s)]])),1,0)</f>
        <v>0</v>
      </c>
      <c r="G245" s="3">
        <f>IF(ISNUMBER(SEARCH("DZ",BrachyTxs[[#This Row],[Physicist(s)]])),1,0)</f>
        <v>0</v>
      </c>
      <c r="H245" s="3">
        <f>IF(ISNUMBER(SEARCH("ZC",BrachyTxs[[#This Row],[Physicist(s)]])),1,0)</f>
        <v>0</v>
      </c>
      <c r="I245" s="3">
        <f>IF(ISNUMBER(SEARCH("DJ",BrachyTxs[[#This Row],[MD(s)]])),1,0)</f>
        <v>0</v>
      </c>
      <c r="J245" s="3">
        <f>IF(ISNUMBER(SEARCH("JS",BrachyTxs[[#This Row],[MD(s)]])),1,0)</f>
        <v>0</v>
      </c>
      <c r="K245" s="3"/>
      <c r="L245" s="3"/>
      <c r="M245" s="3"/>
      <c r="N245" s="3"/>
      <c r="O245" t="b">
        <f>ValidatePatient(BrachyTxs[[#This Row],[Pt]])</f>
        <v>1</v>
      </c>
      <c r="P245" t="b">
        <f>ValidatePhysicists(BrachyTxs[[#This Row],[Physicist(s)]])</f>
        <v>1</v>
      </c>
      <c r="Q245" t="b">
        <f>ValidateMDs(BrachyTxs[[#This Row],[MD(s)]])</f>
        <v>1</v>
      </c>
      <c r="S245" s="3"/>
    </row>
    <row r="246" spans="1:19" x14ac:dyDescent="0.25">
      <c r="A246" t="s">
        <v>325</v>
      </c>
      <c r="B246" s="1">
        <v>41408</v>
      </c>
      <c r="C246" s="2" t="s">
        <v>86</v>
      </c>
      <c r="D246" s="3"/>
      <c r="E246" s="3"/>
      <c r="F246">
        <f>IF(ISNUMBER(SEARCH("BB",BrachyTxs[[#This Row],[Physicist(s)]])),1,0)</f>
        <v>0</v>
      </c>
      <c r="G246" s="3">
        <f>IF(ISNUMBER(SEARCH("DZ",BrachyTxs[[#This Row],[Physicist(s)]])),1,0)</f>
        <v>0</v>
      </c>
      <c r="H246" s="3">
        <f>IF(ISNUMBER(SEARCH("ZC",BrachyTxs[[#This Row],[Physicist(s)]])),1,0)</f>
        <v>0</v>
      </c>
      <c r="I246" s="3">
        <f>IF(ISNUMBER(SEARCH("DJ",BrachyTxs[[#This Row],[MD(s)]])),1,0)</f>
        <v>0</v>
      </c>
      <c r="J246" s="3">
        <f>IF(ISNUMBER(SEARCH("JS",BrachyTxs[[#This Row],[MD(s)]])),1,0)</f>
        <v>0</v>
      </c>
      <c r="K246" s="3"/>
      <c r="L246" s="3"/>
      <c r="M246" s="3"/>
      <c r="N246" s="3"/>
      <c r="O246" t="b">
        <f>ValidatePatient(BrachyTxs[[#This Row],[Pt]])</f>
        <v>1</v>
      </c>
      <c r="P246" t="b">
        <f>ValidatePhysicists(BrachyTxs[[#This Row],[Physicist(s)]])</f>
        <v>1</v>
      </c>
      <c r="Q246" t="b">
        <f>ValidateMDs(BrachyTxs[[#This Row],[MD(s)]])</f>
        <v>1</v>
      </c>
      <c r="S246" s="3"/>
    </row>
    <row r="247" spans="1:19" x14ac:dyDescent="0.25">
      <c r="A247" t="s">
        <v>324</v>
      </c>
      <c r="B247" s="1">
        <v>41409</v>
      </c>
      <c r="C247" s="2" t="s">
        <v>308</v>
      </c>
      <c r="D247" s="3"/>
      <c r="E247" s="3"/>
      <c r="F247">
        <f>IF(ISNUMBER(SEARCH("BB",BrachyTxs[[#This Row],[Physicist(s)]])),1,0)</f>
        <v>0</v>
      </c>
      <c r="G247" s="3">
        <f>IF(ISNUMBER(SEARCH("DZ",BrachyTxs[[#This Row],[Physicist(s)]])),1,0)</f>
        <v>0</v>
      </c>
      <c r="H247" s="3">
        <f>IF(ISNUMBER(SEARCH("ZC",BrachyTxs[[#This Row],[Physicist(s)]])),1,0)</f>
        <v>0</v>
      </c>
      <c r="I247" s="3">
        <f>IF(ISNUMBER(SEARCH("DJ",BrachyTxs[[#This Row],[MD(s)]])),1,0)</f>
        <v>0</v>
      </c>
      <c r="J247" s="3">
        <f>IF(ISNUMBER(SEARCH("JS",BrachyTxs[[#This Row],[MD(s)]])),1,0)</f>
        <v>0</v>
      </c>
      <c r="K247" s="3"/>
      <c r="L247" s="3"/>
      <c r="M247" s="3"/>
      <c r="N247" s="3"/>
      <c r="O247" t="b">
        <f>ValidatePatient(BrachyTxs[[#This Row],[Pt]])</f>
        <v>1</v>
      </c>
      <c r="P247" t="b">
        <f>ValidatePhysicists(BrachyTxs[[#This Row],[Physicist(s)]])</f>
        <v>1</v>
      </c>
      <c r="Q247" t="b">
        <f>ValidateMDs(BrachyTxs[[#This Row],[MD(s)]])</f>
        <v>1</v>
      </c>
      <c r="S247" s="3"/>
    </row>
    <row r="248" spans="1:19" x14ac:dyDescent="0.25">
      <c r="A248" t="s">
        <v>323</v>
      </c>
      <c r="B248" s="1">
        <v>41422</v>
      </c>
      <c r="C248" s="2" t="s">
        <v>78</v>
      </c>
      <c r="D248" s="3"/>
      <c r="E248" s="3"/>
      <c r="F248">
        <f>IF(ISNUMBER(SEARCH("BB",BrachyTxs[[#This Row],[Physicist(s)]])),1,0)</f>
        <v>0</v>
      </c>
      <c r="G248" s="3">
        <f>IF(ISNUMBER(SEARCH("DZ",BrachyTxs[[#This Row],[Physicist(s)]])),1,0)</f>
        <v>0</v>
      </c>
      <c r="H248" s="3">
        <f>IF(ISNUMBER(SEARCH("ZC",BrachyTxs[[#This Row],[Physicist(s)]])),1,0)</f>
        <v>0</v>
      </c>
      <c r="I248" s="3">
        <f>IF(ISNUMBER(SEARCH("DJ",BrachyTxs[[#This Row],[MD(s)]])),1,0)</f>
        <v>0</v>
      </c>
      <c r="J248" s="3">
        <f>IF(ISNUMBER(SEARCH("JS",BrachyTxs[[#This Row],[MD(s)]])),1,0)</f>
        <v>0</v>
      </c>
      <c r="K248" s="3"/>
      <c r="L248" s="3"/>
      <c r="M248" s="3"/>
      <c r="N248" s="3"/>
      <c r="O248" t="b">
        <f>ValidatePatient(BrachyTxs[[#This Row],[Pt]])</f>
        <v>1</v>
      </c>
      <c r="P248" t="b">
        <f>ValidatePhysicists(BrachyTxs[[#This Row],[Physicist(s)]])</f>
        <v>1</v>
      </c>
      <c r="Q248" t="b">
        <f>ValidateMDs(BrachyTxs[[#This Row],[MD(s)]])</f>
        <v>1</v>
      </c>
      <c r="S248" s="3"/>
    </row>
    <row r="249" spans="1:19" x14ac:dyDescent="0.25">
      <c r="A249" t="s">
        <v>323</v>
      </c>
      <c r="B249" s="1">
        <v>41432</v>
      </c>
      <c r="C249" s="2" t="s">
        <v>290</v>
      </c>
      <c r="D249" s="3"/>
      <c r="E249" s="3"/>
      <c r="F249">
        <f>IF(ISNUMBER(SEARCH("BB",BrachyTxs[[#This Row],[Physicist(s)]])),1,0)</f>
        <v>0</v>
      </c>
      <c r="G249" s="3">
        <f>IF(ISNUMBER(SEARCH("DZ",BrachyTxs[[#This Row],[Physicist(s)]])),1,0)</f>
        <v>0</v>
      </c>
      <c r="H249" s="3">
        <f>IF(ISNUMBER(SEARCH("ZC",BrachyTxs[[#This Row],[Physicist(s)]])),1,0)</f>
        <v>0</v>
      </c>
      <c r="I249" s="3">
        <f>IF(ISNUMBER(SEARCH("DJ",BrachyTxs[[#This Row],[MD(s)]])),1,0)</f>
        <v>0</v>
      </c>
      <c r="J249" s="3">
        <f>IF(ISNUMBER(SEARCH("JS",BrachyTxs[[#This Row],[MD(s)]])),1,0)</f>
        <v>0</v>
      </c>
      <c r="K249" s="3"/>
      <c r="L249" s="3"/>
      <c r="M249" s="3"/>
      <c r="N249" s="3"/>
      <c r="O249" t="b">
        <f>ValidatePatient(BrachyTxs[[#This Row],[Pt]])</f>
        <v>1</v>
      </c>
      <c r="P249" t="b">
        <f>ValidatePhysicists(BrachyTxs[[#This Row],[Physicist(s)]])</f>
        <v>1</v>
      </c>
      <c r="Q249" t="b">
        <f>ValidateMDs(BrachyTxs[[#This Row],[MD(s)]])</f>
        <v>1</v>
      </c>
      <c r="S249" s="3"/>
    </row>
    <row r="250" spans="1:19" x14ac:dyDescent="0.25">
      <c r="A250" t="s">
        <v>326</v>
      </c>
      <c r="B250" s="1">
        <v>41466</v>
      </c>
      <c r="C250" s="2" t="s">
        <v>157</v>
      </c>
      <c r="D250" s="3"/>
      <c r="E250" s="3"/>
      <c r="F250">
        <f>IF(ISNUMBER(SEARCH("BB",BrachyTxs[[#This Row],[Physicist(s)]])),1,0)</f>
        <v>0</v>
      </c>
      <c r="G250" s="3">
        <f>IF(ISNUMBER(SEARCH("DZ",BrachyTxs[[#This Row],[Physicist(s)]])),1,0)</f>
        <v>0</v>
      </c>
      <c r="H250" s="3">
        <f>IF(ISNUMBER(SEARCH("ZC",BrachyTxs[[#This Row],[Physicist(s)]])),1,0)</f>
        <v>0</v>
      </c>
      <c r="I250" s="3">
        <f>IF(ISNUMBER(SEARCH("DJ",BrachyTxs[[#This Row],[MD(s)]])),1,0)</f>
        <v>0</v>
      </c>
      <c r="J250" s="3">
        <f>IF(ISNUMBER(SEARCH("JS",BrachyTxs[[#This Row],[MD(s)]])),1,0)</f>
        <v>0</v>
      </c>
      <c r="K250" s="3"/>
      <c r="L250" s="3"/>
      <c r="M250" s="3"/>
      <c r="N250" s="3"/>
      <c r="O250" t="b">
        <f>ValidatePatient(BrachyTxs[[#This Row],[Pt]])</f>
        <v>1</v>
      </c>
      <c r="P250" t="b">
        <f>ValidatePhysicists(BrachyTxs[[#This Row],[Physicist(s)]])</f>
        <v>1</v>
      </c>
      <c r="Q250" t="b">
        <f>ValidateMDs(BrachyTxs[[#This Row],[MD(s)]])</f>
        <v>1</v>
      </c>
      <c r="S250" s="3"/>
    </row>
    <row r="251" spans="1:19" x14ac:dyDescent="0.25">
      <c r="A251" t="s">
        <v>324</v>
      </c>
      <c r="B251" s="1">
        <v>41494</v>
      </c>
      <c r="C251" s="2" t="s">
        <v>53</v>
      </c>
      <c r="D251" s="3"/>
      <c r="E251" s="3"/>
      <c r="F251">
        <f>IF(ISNUMBER(SEARCH("BB",BrachyTxs[[#This Row],[Physicist(s)]])),1,0)</f>
        <v>0</v>
      </c>
      <c r="G251" s="3">
        <f>IF(ISNUMBER(SEARCH("DZ",BrachyTxs[[#This Row],[Physicist(s)]])),1,0)</f>
        <v>0</v>
      </c>
      <c r="H251" s="3">
        <f>IF(ISNUMBER(SEARCH("ZC",BrachyTxs[[#This Row],[Physicist(s)]])),1,0)</f>
        <v>0</v>
      </c>
      <c r="I251" s="3">
        <f>IF(ISNUMBER(SEARCH("DJ",BrachyTxs[[#This Row],[MD(s)]])),1,0)</f>
        <v>0</v>
      </c>
      <c r="J251" s="3">
        <f>IF(ISNUMBER(SEARCH("JS",BrachyTxs[[#This Row],[MD(s)]])),1,0)</f>
        <v>0</v>
      </c>
      <c r="K251" s="3"/>
      <c r="L251" s="3"/>
      <c r="M251" s="3"/>
      <c r="N251" s="3"/>
      <c r="O251" t="b">
        <f>ValidatePatient(BrachyTxs[[#This Row],[Pt]])</f>
        <v>1</v>
      </c>
      <c r="P251" t="b">
        <f>ValidatePhysicists(BrachyTxs[[#This Row],[Physicist(s)]])</f>
        <v>1</v>
      </c>
      <c r="Q251" t="b">
        <f>ValidateMDs(BrachyTxs[[#This Row],[MD(s)]])</f>
        <v>1</v>
      </c>
      <c r="S251" s="3"/>
    </row>
    <row r="252" spans="1:19" x14ac:dyDescent="0.25">
      <c r="A252" t="s">
        <v>326</v>
      </c>
      <c r="B252" s="1">
        <v>41494</v>
      </c>
      <c r="C252" s="2" t="s">
        <v>157</v>
      </c>
      <c r="D252" s="3"/>
      <c r="E252" s="3"/>
      <c r="F252">
        <f>IF(ISNUMBER(SEARCH("BB",BrachyTxs[[#This Row],[Physicist(s)]])),1,0)</f>
        <v>0</v>
      </c>
      <c r="G252" s="3">
        <f>IF(ISNUMBER(SEARCH("DZ",BrachyTxs[[#This Row],[Physicist(s)]])),1,0)</f>
        <v>0</v>
      </c>
      <c r="H252" s="3">
        <f>IF(ISNUMBER(SEARCH("ZC",BrachyTxs[[#This Row],[Physicist(s)]])),1,0)</f>
        <v>0</v>
      </c>
      <c r="I252" s="3">
        <f>IF(ISNUMBER(SEARCH("DJ",BrachyTxs[[#This Row],[MD(s)]])),1,0)</f>
        <v>0</v>
      </c>
      <c r="J252" s="3">
        <f>IF(ISNUMBER(SEARCH("JS",BrachyTxs[[#This Row],[MD(s)]])),1,0)</f>
        <v>0</v>
      </c>
      <c r="K252" s="3"/>
      <c r="L252" s="3"/>
      <c r="M252" s="3"/>
      <c r="N252" s="3"/>
      <c r="O252" t="b">
        <f>ValidatePatient(BrachyTxs[[#This Row],[Pt]])</f>
        <v>1</v>
      </c>
      <c r="P252" t="b">
        <f>ValidatePhysicists(BrachyTxs[[#This Row],[Physicist(s)]])</f>
        <v>1</v>
      </c>
      <c r="Q252" t="b">
        <f>ValidateMDs(BrachyTxs[[#This Row],[MD(s)]])</f>
        <v>1</v>
      </c>
      <c r="S252" s="3"/>
    </row>
    <row r="253" spans="1:19" x14ac:dyDescent="0.25">
      <c r="A253" t="s">
        <v>324</v>
      </c>
      <c r="B253" s="1">
        <v>41508</v>
      </c>
      <c r="C253" s="2" t="s">
        <v>53</v>
      </c>
      <c r="D253" s="3"/>
      <c r="E253" s="3"/>
      <c r="F253">
        <f>IF(ISNUMBER(SEARCH("BB",BrachyTxs[[#This Row],[Physicist(s)]])),1,0)</f>
        <v>0</v>
      </c>
      <c r="G253" s="3">
        <f>IF(ISNUMBER(SEARCH("DZ",BrachyTxs[[#This Row],[Physicist(s)]])),1,0)</f>
        <v>0</v>
      </c>
      <c r="H253" s="3">
        <f>IF(ISNUMBER(SEARCH("ZC",BrachyTxs[[#This Row],[Physicist(s)]])),1,0)</f>
        <v>0</v>
      </c>
      <c r="I253" s="3">
        <f>IF(ISNUMBER(SEARCH("DJ",BrachyTxs[[#This Row],[MD(s)]])),1,0)</f>
        <v>0</v>
      </c>
      <c r="J253" s="3">
        <f>IF(ISNUMBER(SEARCH("JS",BrachyTxs[[#This Row],[MD(s)]])),1,0)</f>
        <v>0</v>
      </c>
      <c r="K253" s="3"/>
      <c r="L253" s="3"/>
      <c r="M253" s="3"/>
      <c r="N253" s="3"/>
      <c r="O253" t="b">
        <f>ValidatePatient(BrachyTxs[[#This Row],[Pt]])</f>
        <v>1</v>
      </c>
      <c r="P253" t="b">
        <f>ValidatePhysicists(BrachyTxs[[#This Row],[Physicist(s)]])</f>
        <v>1</v>
      </c>
      <c r="Q253" t="b">
        <f>ValidateMDs(BrachyTxs[[#This Row],[MD(s)]])</f>
        <v>1</v>
      </c>
      <c r="S253" s="3"/>
    </row>
    <row r="254" spans="1:19" x14ac:dyDescent="0.25">
      <c r="A254" t="s">
        <v>323</v>
      </c>
      <c r="B254" s="1">
        <v>41508</v>
      </c>
      <c r="C254" s="2" t="s">
        <v>314</v>
      </c>
      <c r="D254" s="3"/>
      <c r="E254" s="3"/>
      <c r="F254">
        <f>IF(ISNUMBER(SEARCH("BB",BrachyTxs[[#This Row],[Physicist(s)]])),1,0)</f>
        <v>0</v>
      </c>
      <c r="G254" s="3">
        <f>IF(ISNUMBER(SEARCH("DZ",BrachyTxs[[#This Row],[Physicist(s)]])),1,0)</f>
        <v>0</v>
      </c>
      <c r="H254" s="3">
        <f>IF(ISNUMBER(SEARCH("ZC",BrachyTxs[[#This Row],[Physicist(s)]])),1,0)</f>
        <v>0</v>
      </c>
      <c r="I254" s="3">
        <f>IF(ISNUMBER(SEARCH("DJ",BrachyTxs[[#This Row],[MD(s)]])),1,0)</f>
        <v>0</v>
      </c>
      <c r="J254" s="3">
        <f>IF(ISNUMBER(SEARCH("JS",BrachyTxs[[#This Row],[MD(s)]])),1,0)</f>
        <v>0</v>
      </c>
      <c r="K254" s="3"/>
      <c r="L254" s="3"/>
      <c r="M254" s="3"/>
      <c r="N254" s="3"/>
      <c r="O254" t="b">
        <f>ValidatePatient(BrachyTxs[[#This Row],[Pt]])</f>
        <v>1</v>
      </c>
      <c r="P254" t="b">
        <f>ValidatePhysicists(BrachyTxs[[#This Row],[Physicist(s)]])</f>
        <v>1</v>
      </c>
      <c r="Q254" t="b">
        <f>ValidateMDs(BrachyTxs[[#This Row],[MD(s)]])</f>
        <v>1</v>
      </c>
      <c r="S254" s="3"/>
    </row>
    <row r="255" spans="1:19" x14ac:dyDescent="0.25">
      <c r="A255" t="s">
        <v>325</v>
      </c>
      <c r="B255" s="1">
        <v>41513</v>
      </c>
      <c r="C255" s="2" t="s">
        <v>11</v>
      </c>
      <c r="D255" s="3"/>
      <c r="E255" s="3"/>
      <c r="F255">
        <f>IF(ISNUMBER(SEARCH("BB",BrachyTxs[[#This Row],[Physicist(s)]])),1,0)</f>
        <v>0</v>
      </c>
      <c r="G255" s="3">
        <f>IF(ISNUMBER(SEARCH("DZ",BrachyTxs[[#This Row],[Physicist(s)]])),1,0)</f>
        <v>0</v>
      </c>
      <c r="H255" s="3">
        <f>IF(ISNUMBER(SEARCH("ZC",BrachyTxs[[#This Row],[Physicist(s)]])),1,0)</f>
        <v>0</v>
      </c>
      <c r="I255" s="3">
        <f>IF(ISNUMBER(SEARCH("DJ",BrachyTxs[[#This Row],[MD(s)]])),1,0)</f>
        <v>0</v>
      </c>
      <c r="J255" s="3">
        <f>IF(ISNUMBER(SEARCH("JS",BrachyTxs[[#This Row],[MD(s)]])),1,0)</f>
        <v>0</v>
      </c>
      <c r="K255" s="3"/>
      <c r="L255" s="3"/>
      <c r="M255" s="3"/>
      <c r="N255" s="3"/>
      <c r="O255" t="b">
        <f>ValidatePatient(BrachyTxs[[#This Row],[Pt]])</f>
        <v>1</v>
      </c>
      <c r="P255" t="b">
        <f>ValidatePhysicists(BrachyTxs[[#This Row],[Physicist(s)]])</f>
        <v>1</v>
      </c>
      <c r="Q255" t="b">
        <f>ValidateMDs(BrachyTxs[[#This Row],[MD(s)]])</f>
        <v>1</v>
      </c>
      <c r="S255" s="3"/>
    </row>
    <row r="256" spans="1:19" x14ac:dyDescent="0.25">
      <c r="A256" t="s">
        <v>326</v>
      </c>
      <c r="B256" s="1">
        <v>41522</v>
      </c>
      <c r="C256" s="2" t="s">
        <v>157</v>
      </c>
      <c r="D256" s="3"/>
      <c r="E256" s="3"/>
      <c r="F256">
        <f>IF(ISNUMBER(SEARCH("BB",BrachyTxs[[#This Row],[Physicist(s)]])),1,0)</f>
        <v>0</v>
      </c>
      <c r="G256" s="3">
        <f>IF(ISNUMBER(SEARCH("DZ",BrachyTxs[[#This Row],[Physicist(s)]])),1,0)</f>
        <v>0</v>
      </c>
      <c r="H256" s="3">
        <f>IF(ISNUMBER(SEARCH("ZC",BrachyTxs[[#This Row],[Physicist(s)]])),1,0)</f>
        <v>0</v>
      </c>
      <c r="I256" s="3">
        <f>IF(ISNUMBER(SEARCH("DJ",BrachyTxs[[#This Row],[MD(s)]])),1,0)</f>
        <v>0</v>
      </c>
      <c r="J256" s="3">
        <f>IF(ISNUMBER(SEARCH("JS",BrachyTxs[[#This Row],[MD(s)]])),1,0)</f>
        <v>0</v>
      </c>
      <c r="K256" s="3"/>
      <c r="L256" s="3"/>
      <c r="M256" s="3"/>
      <c r="N256" s="3"/>
      <c r="O256" t="b">
        <f>ValidatePatient(BrachyTxs[[#This Row],[Pt]])</f>
        <v>1</v>
      </c>
      <c r="P256" t="b">
        <f>ValidatePhysicists(BrachyTxs[[#This Row],[Physicist(s)]])</f>
        <v>1</v>
      </c>
      <c r="Q256" t="b">
        <f>ValidateMDs(BrachyTxs[[#This Row],[MD(s)]])</f>
        <v>1</v>
      </c>
      <c r="S256" s="3"/>
    </row>
    <row r="257" spans="1:19" x14ac:dyDescent="0.25">
      <c r="A257" t="s">
        <v>323</v>
      </c>
      <c r="B257" s="1">
        <v>41534</v>
      </c>
      <c r="C257" s="2" t="s">
        <v>126</v>
      </c>
      <c r="D257" s="3"/>
      <c r="E257" s="3"/>
      <c r="F257">
        <f>IF(ISNUMBER(SEARCH("BB",BrachyTxs[[#This Row],[Physicist(s)]])),1,0)</f>
        <v>0</v>
      </c>
      <c r="G257" s="3">
        <f>IF(ISNUMBER(SEARCH("DZ",BrachyTxs[[#This Row],[Physicist(s)]])),1,0)</f>
        <v>0</v>
      </c>
      <c r="H257" s="3">
        <f>IF(ISNUMBER(SEARCH("ZC",BrachyTxs[[#This Row],[Physicist(s)]])),1,0)</f>
        <v>0</v>
      </c>
      <c r="I257" s="3">
        <f>IF(ISNUMBER(SEARCH("DJ",BrachyTxs[[#This Row],[MD(s)]])),1,0)</f>
        <v>0</v>
      </c>
      <c r="J257" s="3">
        <f>IF(ISNUMBER(SEARCH("JS",BrachyTxs[[#This Row],[MD(s)]])),1,0)</f>
        <v>0</v>
      </c>
      <c r="K257" s="3"/>
      <c r="L257" s="3"/>
      <c r="M257" s="3"/>
      <c r="N257" s="3"/>
      <c r="O257" t="b">
        <f>ValidatePatient(BrachyTxs[[#This Row],[Pt]])</f>
        <v>1</v>
      </c>
      <c r="P257" t="b">
        <f>ValidatePhysicists(BrachyTxs[[#This Row],[Physicist(s)]])</f>
        <v>1</v>
      </c>
      <c r="Q257" t="b">
        <f>ValidateMDs(BrachyTxs[[#This Row],[MD(s)]])</f>
        <v>1</v>
      </c>
      <c r="S257" s="3"/>
    </row>
    <row r="258" spans="1:19" x14ac:dyDescent="0.25">
      <c r="A258" t="s">
        <v>326</v>
      </c>
      <c r="B258" s="1">
        <v>41534</v>
      </c>
      <c r="C258" s="2" t="s">
        <v>157</v>
      </c>
      <c r="D258" s="3"/>
      <c r="E258" s="3"/>
      <c r="F258">
        <f>IF(ISNUMBER(SEARCH("BB",BrachyTxs[[#This Row],[Physicist(s)]])),1,0)</f>
        <v>0</v>
      </c>
      <c r="G258" s="3">
        <f>IF(ISNUMBER(SEARCH("DZ",BrachyTxs[[#This Row],[Physicist(s)]])),1,0)</f>
        <v>0</v>
      </c>
      <c r="H258" s="3">
        <f>IF(ISNUMBER(SEARCH("ZC",BrachyTxs[[#This Row],[Physicist(s)]])),1,0)</f>
        <v>0</v>
      </c>
      <c r="I258" s="3">
        <f>IF(ISNUMBER(SEARCH("DJ",BrachyTxs[[#This Row],[MD(s)]])),1,0)</f>
        <v>0</v>
      </c>
      <c r="J258" s="3">
        <f>IF(ISNUMBER(SEARCH("JS",BrachyTxs[[#This Row],[MD(s)]])),1,0)</f>
        <v>0</v>
      </c>
      <c r="K258" s="3"/>
      <c r="L258" s="3"/>
      <c r="M258" s="3"/>
      <c r="N258" s="3"/>
      <c r="O258" t="b">
        <f>ValidatePatient(BrachyTxs[[#This Row],[Pt]])</f>
        <v>1</v>
      </c>
      <c r="P258" t="b">
        <f>ValidatePhysicists(BrachyTxs[[#This Row],[Physicist(s)]])</f>
        <v>1</v>
      </c>
      <c r="Q258" t="b">
        <f>ValidateMDs(BrachyTxs[[#This Row],[MD(s)]])</f>
        <v>1</v>
      </c>
      <c r="S258" s="3"/>
    </row>
    <row r="259" spans="1:19" x14ac:dyDescent="0.25">
      <c r="A259" t="s">
        <v>323</v>
      </c>
      <c r="B259" s="1">
        <v>41536</v>
      </c>
      <c r="C259" s="2" t="s">
        <v>190</v>
      </c>
      <c r="D259" s="3"/>
      <c r="E259" s="3"/>
      <c r="F259">
        <f>IF(ISNUMBER(SEARCH("BB",BrachyTxs[[#This Row],[Physicist(s)]])),1,0)</f>
        <v>0</v>
      </c>
      <c r="G259" s="3">
        <f>IF(ISNUMBER(SEARCH("DZ",BrachyTxs[[#This Row],[Physicist(s)]])),1,0)</f>
        <v>0</v>
      </c>
      <c r="H259" s="3">
        <f>IF(ISNUMBER(SEARCH("ZC",BrachyTxs[[#This Row],[Physicist(s)]])),1,0)</f>
        <v>0</v>
      </c>
      <c r="I259" s="3">
        <f>IF(ISNUMBER(SEARCH("DJ",BrachyTxs[[#This Row],[MD(s)]])),1,0)</f>
        <v>0</v>
      </c>
      <c r="J259" s="3">
        <f>IF(ISNUMBER(SEARCH("JS",BrachyTxs[[#This Row],[MD(s)]])),1,0)</f>
        <v>0</v>
      </c>
      <c r="K259" s="3"/>
      <c r="L259" s="3"/>
      <c r="M259" s="3"/>
      <c r="N259" s="3"/>
      <c r="O259" t="b">
        <f>ValidatePatient(BrachyTxs[[#This Row],[Pt]])</f>
        <v>1</v>
      </c>
      <c r="P259" t="b">
        <f>ValidatePhysicists(BrachyTxs[[#This Row],[Physicist(s)]])</f>
        <v>1</v>
      </c>
      <c r="Q259" t="b">
        <f>ValidateMDs(BrachyTxs[[#This Row],[MD(s)]])</f>
        <v>1</v>
      </c>
      <c r="S259" s="3"/>
    </row>
    <row r="260" spans="1:19" x14ac:dyDescent="0.25">
      <c r="A260" t="s">
        <v>323</v>
      </c>
      <c r="B260" s="1">
        <v>41537</v>
      </c>
      <c r="C260" s="2" t="s">
        <v>51</v>
      </c>
      <c r="D260" s="3"/>
      <c r="E260" s="3"/>
      <c r="F260">
        <f>IF(ISNUMBER(SEARCH("BB",BrachyTxs[[#This Row],[Physicist(s)]])),1,0)</f>
        <v>0</v>
      </c>
      <c r="G260" s="3">
        <f>IF(ISNUMBER(SEARCH("DZ",BrachyTxs[[#This Row],[Physicist(s)]])),1,0)</f>
        <v>0</v>
      </c>
      <c r="H260" s="3">
        <f>IF(ISNUMBER(SEARCH("ZC",BrachyTxs[[#This Row],[Physicist(s)]])),1,0)</f>
        <v>0</v>
      </c>
      <c r="I260" s="3">
        <f>IF(ISNUMBER(SEARCH("DJ",BrachyTxs[[#This Row],[MD(s)]])),1,0)</f>
        <v>0</v>
      </c>
      <c r="J260" s="3">
        <f>IF(ISNUMBER(SEARCH("JS",BrachyTxs[[#This Row],[MD(s)]])),1,0)</f>
        <v>0</v>
      </c>
      <c r="K260" s="3"/>
      <c r="L260" s="3"/>
      <c r="M260" s="3"/>
      <c r="N260" s="3"/>
      <c r="O260" t="b">
        <f>ValidatePatient(BrachyTxs[[#This Row],[Pt]])</f>
        <v>1</v>
      </c>
      <c r="P260" t="b">
        <f>ValidatePhysicists(BrachyTxs[[#This Row],[Physicist(s)]])</f>
        <v>1</v>
      </c>
      <c r="Q260" t="b">
        <f>ValidateMDs(BrachyTxs[[#This Row],[MD(s)]])</f>
        <v>1</v>
      </c>
      <c r="S260" s="3"/>
    </row>
    <row r="261" spans="1:19" x14ac:dyDescent="0.25">
      <c r="A261" t="s">
        <v>325</v>
      </c>
      <c r="B261" s="1">
        <v>41548</v>
      </c>
      <c r="C261" s="2" t="s">
        <v>319</v>
      </c>
      <c r="D261" s="3"/>
      <c r="E261" s="3"/>
      <c r="F261">
        <f>IF(ISNUMBER(SEARCH("BB",BrachyTxs[[#This Row],[Physicist(s)]])),1,0)</f>
        <v>0</v>
      </c>
      <c r="G261" s="3">
        <f>IF(ISNUMBER(SEARCH("DZ",BrachyTxs[[#This Row],[Physicist(s)]])),1,0)</f>
        <v>0</v>
      </c>
      <c r="H261" s="3">
        <f>IF(ISNUMBER(SEARCH("ZC",BrachyTxs[[#This Row],[Physicist(s)]])),1,0)</f>
        <v>0</v>
      </c>
      <c r="I261" s="3">
        <f>IF(ISNUMBER(SEARCH("DJ",BrachyTxs[[#This Row],[MD(s)]])),1,0)</f>
        <v>0</v>
      </c>
      <c r="J261" s="3">
        <f>IF(ISNUMBER(SEARCH("JS",BrachyTxs[[#This Row],[MD(s)]])),1,0)</f>
        <v>0</v>
      </c>
      <c r="K261" s="3"/>
      <c r="L261" s="3"/>
      <c r="M261" s="3"/>
      <c r="N261" s="3"/>
      <c r="O261" t="b">
        <f>ValidatePatient(BrachyTxs[[#This Row],[Pt]])</f>
        <v>1</v>
      </c>
      <c r="P261" t="b">
        <f>ValidatePhysicists(BrachyTxs[[#This Row],[Physicist(s)]])</f>
        <v>1</v>
      </c>
      <c r="Q261" t="b">
        <f>ValidateMDs(BrachyTxs[[#This Row],[MD(s)]])</f>
        <v>1</v>
      </c>
      <c r="S261" s="3"/>
    </row>
    <row r="262" spans="1:19" x14ac:dyDescent="0.25">
      <c r="A262" t="s">
        <v>326</v>
      </c>
      <c r="B262" s="1">
        <v>41562</v>
      </c>
      <c r="C262" s="2" t="s">
        <v>157</v>
      </c>
      <c r="D262" s="3"/>
      <c r="E262" s="3"/>
      <c r="F262">
        <f>IF(ISNUMBER(SEARCH("BB",BrachyTxs[[#This Row],[Physicist(s)]])),1,0)</f>
        <v>0</v>
      </c>
      <c r="G262" s="3">
        <f>IF(ISNUMBER(SEARCH("DZ",BrachyTxs[[#This Row],[Physicist(s)]])),1,0)</f>
        <v>0</v>
      </c>
      <c r="H262" s="3">
        <f>IF(ISNUMBER(SEARCH("ZC",BrachyTxs[[#This Row],[Physicist(s)]])),1,0)</f>
        <v>0</v>
      </c>
      <c r="I262" s="3">
        <f>IF(ISNUMBER(SEARCH("DJ",BrachyTxs[[#This Row],[MD(s)]])),1,0)</f>
        <v>0</v>
      </c>
      <c r="J262" s="3">
        <f>IF(ISNUMBER(SEARCH("JS",BrachyTxs[[#This Row],[MD(s)]])),1,0)</f>
        <v>0</v>
      </c>
      <c r="K262" s="3"/>
      <c r="L262" s="3"/>
      <c r="M262" s="3"/>
      <c r="N262" s="3"/>
      <c r="O262" t="b">
        <f>ValidatePatient(BrachyTxs[[#This Row],[Pt]])</f>
        <v>1</v>
      </c>
      <c r="P262" t="b">
        <f>ValidatePhysicists(BrachyTxs[[#This Row],[Physicist(s)]])</f>
        <v>1</v>
      </c>
      <c r="Q262" t="b">
        <f>ValidateMDs(BrachyTxs[[#This Row],[MD(s)]])</f>
        <v>1</v>
      </c>
      <c r="S262" s="3"/>
    </row>
    <row r="263" spans="1:19" x14ac:dyDescent="0.25">
      <c r="A263" t="s">
        <v>323</v>
      </c>
      <c r="B263" s="1">
        <v>41584</v>
      </c>
      <c r="C263" s="2" t="s">
        <v>2</v>
      </c>
      <c r="D263" s="3"/>
      <c r="E263" s="3"/>
      <c r="F263">
        <f>IF(ISNUMBER(SEARCH("BB",BrachyTxs[[#This Row],[Physicist(s)]])),1,0)</f>
        <v>0</v>
      </c>
      <c r="G263" s="3">
        <f>IF(ISNUMBER(SEARCH("DZ",BrachyTxs[[#This Row],[Physicist(s)]])),1,0)</f>
        <v>0</v>
      </c>
      <c r="H263" s="3">
        <f>IF(ISNUMBER(SEARCH("ZC",BrachyTxs[[#This Row],[Physicist(s)]])),1,0)</f>
        <v>0</v>
      </c>
      <c r="I263" s="3">
        <f>IF(ISNUMBER(SEARCH("DJ",BrachyTxs[[#This Row],[MD(s)]])),1,0)</f>
        <v>0</v>
      </c>
      <c r="J263" s="3">
        <f>IF(ISNUMBER(SEARCH("JS",BrachyTxs[[#This Row],[MD(s)]])),1,0)</f>
        <v>0</v>
      </c>
      <c r="K263" s="3"/>
      <c r="L263" s="3"/>
      <c r="M263" s="3"/>
      <c r="N263" s="3"/>
      <c r="O263" t="b">
        <f>ValidatePatient(BrachyTxs[[#This Row],[Pt]])</f>
        <v>1</v>
      </c>
      <c r="P263" t="b">
        <f>ValidatePhysicists(BrachyTxs[[#This Row],[Physicist(s)]])</f>
        <v>1</v>
      </c>
      <c r="Q263" t="b">
        <f>ValidateMDs(BrachyTxs[[#This Row],[MD(s)]])</f>
        <v>1</v>
      </c>
      <c r="S263" s="3"/>
    </row>
    <row r="264" spans="1:19" x14ac:dyDescent="0.25">
      <c r="A264" t="s">
        <v>326</v>
      </c>
      <c r="B264" s="1">
        <v>41590</v>
      </c>
      <c r="C264" s="2" t="s">
        <v>157</v>
      </c>
      <c r="D264" s="3"/>
      <c r="E264" s="3"/>
      <c r="F264">
        <f>IF(ISNUMBER(SEARCH("BB",BrachyTxs[[#This Row],[Physicist(s)]])),1,0)</f>
        <v>0</v>
      </c>
      <c r="G264" s="3">
        <f>IF(ISNUMBER(SEARCH("DZ",BrachyTxs[[#This Row],[Physicist(s)]])),1,0)</f>
        <v>0</v>
      </c>
      <c r="H264" s="3">
        <f>IF(ISNUMBER(SEARCH("ZC",BrachyTxs[[#This Row],[Physicist(s)]])),1,0)</f>
        <v>0</v>
      </c>
      <c r="I264" s="3">
        <f>IF(ISNUMBER(SEARCH("DJ",BrachyTxs[[#This Row],[MD(s)]])),1,0)</f>
        <v>0</v>
      </c>
      <c r="J264" s="3">
        <f>IF(ISNUMBER(SEARCH("JS",BrachyTxs[[#This Row],[MD(s)]])),1,0)</f>
        <v>0</v>
      </c>
      <c r="K264" s="3"/>
      <c r="L264" s="3"/>
      <c r="M264" s="3"/>
      <c r="N264" s="3"/>
      <c r="O264" t="b">
        <f>ValidatePatient(BrachyTxs[[#This Row],[Pt]])</f>
        <v>1</v>
      </c>
      <c r="P264" t="b">
        <f>ValidatePhysicists(BrachyTxs[[#This Row],[Physicist(s)]])</f>
        <v>1</v>
      </c>
      <c r="Q264" t="b">
        <f>ValidateMDs(BrachyTxs[[#This Row],[MD(s)]])</f>
        <v>1</v>
      </c>
      <c r="S264" s="3"/>
    </row>
    <row r="265" spans="1:19" x14ac:dyDescent="0.25">
      <c r="A265" t="s">
        <v>325</v>
      </c>
      <c r="B265" s="1">
        <v>41596</v>
      </c>
      <c r="C265" s="2" t="s">
        <v>234</v>
      </c>
      <c r="D265" s="3"/>
      <c r="E265" s="3"/>
      <c r="F265">
        <f>IF(ISNUMBER(SEARCH("BB",BrachyTxs[[#This Row],[Physicist(s)]])),1,0)</f>
        <v>0</v>
      </c>
      <c r="G265" s="3">
        <f>IF(ISNUMBER(SEARCH("DZ",BrachyTxs[[#This Row],[Physicist(s)]])),1,0)</f>
        <v>0</v>
      </c>
      <c r="H265" s="3">
        <f>IF(ISNUMBER(SEARCH("ZC",BrachyTxs[[#This Row],[Physicist(s)]])),1,0)</f>
        <v>0</v>
      </c>
      <c r="I265" s="3">
        <f>IF(ISNUMBER(SEARCH("DJ",BrachyTxs[[#This Row],[MD(s)]])),1,0)</f>
        <v>0</v>
      </c>
      <c r="J265" s="3">
        <f>IF(ISNUMBER(SEARCH("JS",BrachyTxs[[#This Row],[MD(s)]])),1,0)</f>
        <v>0</v>
      </c>
      <c r="K265" s="3"/>
      <c r="L265" s="3"/>
      <c r="M265" s="3"/>
      <c r="N265" s="3"/>
      <c r="O265" t="b">
        <f>ValidatePatient(BrachyTxs[[#This Row],[Pt]])</f>
        <v>1</v>
      </c>
      <c r="P265" t="b">
        <f>ValidatePhysicists(BrachyTxs[[#This Row],[Physicist(s)]])</f>
        <v>1</v>
      </c>
      <c r="Q265" t="b">
        <f>ValidateMDs(BrachyTxs[[#This Row],[MD(s)]])</f>
        <v>1</v>
      </c>
      <c r="S265" s="3"/>
    </row>
    <row r="266" spans="1:19" x14ac:dyDescent="0.25">
      <c r="A266" t="s">
        <v>326</v>
      </c>
      <c r="B266" s="1">
        <v>41618</v>
      </c>
      <c r="C266" s="2" t="s">
        <v>157</v>
      </c>
      <c r="D266" s="3"/>
      <c r="E266" s="3"/>
      <c r="F266">
        <f>IF(ISNUMBER(SEARCH("BB",BrachyTxs[[#This Row],[Physicist(s)]])),1,0)</f>
        <v>0</v>
      </c>
      <c r="G266" s="3">
        <f>IF(ISNUMBER(SEARCH("DZ",BrachyTxs[[#This Row],[Physicist(s)]])),1,0)</f>
        <v>0</v>
      </c>
      <c r="H266" s="3">
        <f>IF(ISNUMBER(SEARCH("ZC",BrachyTxs[[#This Row],[Physicist(s)]])),1,0)</f>
        <v>0</v>
      </c>
      <c r="I266" s="3">
        <f>IF(ISNUMBER(SEARCH("DJ",BrachyTxs[[#This Row],[MD(s)]])),1,0)</f>
        <v>0</v>
      </c>
      <c r="J266" s="3">
        <f>IF(ISNUMBER(SEARCH("JS",BrachyTxs[[#This Row],[MD(s)]])),1,0)</f>
        <v>0</v>
      </c>
      <c r="K266" s="3"/>
      <c r="L266" s="3"/>
      <c r="M266" s="3"/>
      <c r="N266" s="3"/>
      <c r="O266" t="b">
        <f>ValidatePatient(BrachyTxs[[#This Row],[Pt]])</f>
        <v>1</v>
      </c>
      <c r="P266" t="b">
        <f>ValidatePhysicists(BrachyTxs[[#This Row],[Physicist(s)]])</f>
        <v>1</v>
      </c>
      <c r="Q266" t="b">
        <f>ValidateMDs(BrachyTxs[[#This Row],[MD(s)]])</f>
        <v>1</v>
      </c>
      <c r="S266" s="3"/>
    </row>
    <row r="267" spans="1:19" x14ac:dyDescent="0.25">
      <c r="A267" t="s">
        <v>325</v>
      </c>
      <c r="B267" s="1">
        <v>41624</v>
      </c>
      <c r="C267" s="2" t="s">
        <v>119</v>
      </c>
      <c r="D267" s="3"/>
      <c r="E267" s="3"/>
      <c r="F267">
        <f>IF(ISNUMBER(SEARCH("BB",BrachyTxs[[#This Row],[Physicist(s)]])),1,0)</f>
        <v>0</v>
      </c>
      <c r="G267" s="3">
        <f>IF(ISNUMBER(SEARCH("DZ",BrachyTxs[[#This Row],[Physicist(s)]])),1,0)</f>
        <v>0</v>
      </c>
      <c r="H267" s="3">
        <f>IF(ISNUMBER(SEARCH("ZC",BrachyTxs[[#This Row],[Physicist(s)]])),1,0)</f>
        <v>0</v>
      </c>
      <c r="I267" s="3">
        <f>IF(ISNUMBER(SEARCH("DJ",BrachyTxs[[#This Row],[MD(s)]])),1,0)</f>
        <v>0</v>
      </c>
      <c r="J267" s="3">
        <f>IF(ISNUMBER(SEARCH("JS",BrachyTxs[[#This Row],[MD(s)]])),1,0)</f>
        <v>0</v>
      </c>
      <c r="K267" s="3"/>
      <c r="L267" s="3"/>
      <c r="M267" s="3"/>
      <c r="N267" s="3"/>
      <c r="O267" t="b">
        <f>ValidatePatient(BrachyTxs[[#This Row],[Pt]])</f>
        <v>1</v>
      </c>
      <c r="P267" t="b">
        <f>ValidatePhysicists(BrachyTxs[[#This Row],[Physicist(s)]])</f>
        <v>1</v>
      </c>
      <c r="Q267" t="b">
        <f>ValidateMDs(BrachyTxs[[#This Row],[MD(s)]])</f>
        <v>1</v>
      </c>
      <c r="S267" s="3"/>
    </row>
    <row r="268" spans="1:19" x14ac:dyDescent="0.25">
      <c r="A268" t="s">
        <v>325</v>
      </c>
      <c r="B268" s="1">
        <v>41647</v>
      </c>
      <c r="C268" s="2" t="s">
        <v>3</v>
      </c>
      <c r="D268" s="3"/>
      <c r="E268" s="3"/>
      <c r="F268">
        <f>IF(ISNUMBER(SEARCH("BB",BrachyTxs[[#This Row],[Physicist(s)]])),1,0)</f>
        <v>0</v>
      </c>
      <c r="G268" s="3">
        <f>IF(ISNUMBER(SEARCH("DZ",BrachyTxs[[#This Row],[Physicist(s)]])),1,0)</f>
        <v>0</v>
      </c>
      <c r="H268" s="3">
        <f>IF(ISNUMBER(SEARCH("ZC",BrachyTxs[[#This Row],[Physicist(s)]])),1,0)</f>
        <v>0</v>
      </c>
      <c r="I268" s="3">
        <f>IF(ISNUMBER(SEARCH("DJ",BrachyTxs[[#This Row],[MD(s)]])),1,0)</f>
        <v>0</v>
      </c>
      <c r="J268" s="3">
        <f>IF(ISNUMBER(SEARCH("JS",BrachyTxs[[#This Row],[MD(s)]])),1,0)</f>
        <v>0</v>
      </c>
      <c r="K268" s="3"/>
      <c r="L268" s="3"/>
      <c r="M268" s="3"/>
      <c r="N268" s="3"/>
      <c r="O268" t="b">
        <f>ValidatePatient(BrachyTxs[[#This Row],[Pt]])</f>
        <v>1</v>
      </c>
      <c r="P268" t="b">
        <f>ValidatePhysicists(BrachyTxs[[#This Row],[Physicist(s)]])</f>
        <v>1</v>
      </c>
      <c r="Q268" t="b">
        <f>ValidateMDs(BrachyTxs[[#This Row],[MD(s)]])</f>
        <v>1</v>
      </c>
      <c r="S268" s="3"/>
    </row>
    <row r="269" spans="1:19" x14ac:dyDescent="0.25">
      <c r="A269" t="s">
        <v>325</v>
      </c>
      <c r="B269" s="1">
        <v>41661</v>
      </c>
      <c r="C269" s="2" t="s">
        <v>28</v>
      </c>
      <c r="D269" s="3"/>
      <c r="E269" s="3"/>
      <c r="F269">
        <f>IF(ISNUMBER(SEARCH("BB",BrachyTxs[[#This Row],[Physicist(s)]])),1,0)</f>
        <v>0</v>
      </c>
      <c r="G269" s="3">
        <f>IF(ISNUMBER(SEARCH("DZ",BrachyTxs[[#This Row],[Physicist(s)]])),1,0)</f>
        <v>0</v>
      </c>
      <c r="H269" s="3">
        <f>IF(ISNUMBER(SEARCH("ZC",BrachyTxs[[#This Row],[Physicist(s)]])),1,0)</f>
        <v>0</v>
      </c>
      <c r="I269" s="3">
        <f>IF(ISNUMBER(SEARCH("DJ",BrachyTxs[[#This Row],[MD(s)]])),1,0)</f>
        <v>0</v>
      </c>
      <c r="J269" s="3">
        <f>IF(ISNUMBER(SEARCH("JS",BrachyTxs[[#This Row],[MD(s)]])),1,0)</f>
        <v>0</v>
      </c>
      <c r="K269" s="3"/>
      <c r="L269" s="3"/>
      <c r="M269" s="3"/>
      <c r="N269" s="3"/>
      <c r="O269" t="b">
        <f>ValidatePatient(BrachyTxs[[#This Row],[Pt]])</f>
        <v>1</v>
      </c>
      <c r="P269" t="b">
        <f>ValidatePhysicists(BrachyTxs[[#This Row],[Physicist(s)]])</f>
        <v>1</v>
      </c>
      <c r="Q269" t="b">
        <f>ValidateMDs(BrachyTxs[[#This Row],[MD(s)]])</f>
        <v>1</v>
      </c>
      <c r="S269" s="3"/>
    </row>
    <row r="270" spans="1:19" x14ac:dyDescent="0.25">
      <c r="A270" t="s">
        <v>323</v>
      </c>
      <c r="B270" s="1">
        <v>41662</v>
      </c>
      <c r="C270" s="2" t="s">
        <v>169</v>
      </c>
      <c r="D270" s="3"/>
      <c r="E270" s="3"/>
      <c r="F270">
        <f>IF(ISNUMBER(SEARCH("BB",BrachyTxs[[#This Row],[Physicist(s)]])),1,0)</f>
        <v>0</v>
      </c>
      <c r="G270" s="3">
        <f>IF(ISNUMBER(SEARCH("DZ",BrachyTxs[[#This Row],[Physicist(s)]])),1,0)</f>
        <v>0</v>
      </c>
      <c r="H270" s="3">
        <f>IF(ISNUMBER(SEARCH("ZC",BrachyTxs[[#This Row],[Physicist(s)]])),1,0)</f>
        <v>0</v>
      </c>
      <c r="I270" s="3">
        <f>IF(ISNUMBER(SEARCH("DJ",BrachyTxs[[#This Row],[MD(s)]])),1,0)</f>
        <v>0</v>
      </c>
      <c r="J270" s="3">
        <f>IF(ISNUMBER(SEARCH("JS",BrachyTxs[[#This Row],[MD(s)]])),1,0)</f>
        <v>0</v>
      </c>
      <c r="K270" s="3"/>
      <c r="L270" s="3"/>
      <c r="M270" s="3"/>
      <c r="N270" s="3"/>
      <c r="O270" t="b">
        <f>ValidatePatient(BrachyTxs[[#This Row],[Pt]])</f>
        <v>1</v>
      </c>
      <c r="P270" t="b">
        <f>ValidatePhysicists(BrachyTxs[[#This Row],[Physicist(s)]])</f>
        <v>1</v>
      </c>
      <c r="Q270" t="b">
        <f>ValidateMDs(BrachyTxs[[#This Row],[MD(s)]])</f>
        <v>1</v>
      </c>
      <c r="S270" s="3"/>
    </row>
    <row r="271" spans="1:19" x14ac:dyDescent="0.25">
      <c r="A271" t="s">
        <v>326</v>
      </c>
      <c r="B271" s="1">
        <v>41663</v>
      </c>
      <c r="C271" s="2" t="s">
        <v>93</v>
      </c>
      <c r="D271" s="3"/>
      <c r="E271" s="3"/>
      <c r="F271">
        <f>IF(ISNUMBER(SEARCH("BB",BrachyTxs[[#This Row],[Physicist(s)]])),1,0)</f>
        <v>0</v>
      </c>
      <c r="G271" s="3">
        <f>IF(ISNUMBER(SEARCH("DZ",BrachyTxs[[#This Row],[Physicist(s)]])),1,0)</f>
        <v>0</v>
      </c>
      <c r="H271" s="3">
        <f>IF(ISNUMBER(SEARCH("ZC",BrachyTxs[[#This Row],[Physicist(s)]])),1,0)</f>
        <v>0</v>
      </c>
      <c r="I271" s="3">
        <f>IF(ISNUMBER(SEARCH("DJ",BrachyTxs[[#This Row],[MD(s)]])),1,0)</f>
        <v>0</v>
      </c>
      <c r="J271" s="3">
        <f>IF(ISNUMBER(SEARCH("JS",BrachyTxs[[#This Row],[MD(s)]])),1,0)</f>
        <v>0</v>
      </c>
      <c r="K271" s="3"/>
      <c r="L271" s="3"/>
      <c r="M271" s="3"/>
      <c r="N271" s="3"/>
      <c r="O271" t="b">
        <f>ValidatePatient(BrachyTxs[[#This Row],[Pt]])</f>
        <v>1</v>
      </c>
      <c r="P271" t="b">
        <f>ValidatePhysicists(BrachyTxs[[#This Row],[Physicist(s)]])</f>
        <v>1</v>
      </c>
      <c r="Q271" t="b">
        <f>ValidateMDs(BrachyTxs[[#This Row],[MD(s)]])</f>
        <v>1</v>
      </c>
      <c r="S271" s="3"/>
    </row>
    <row r="272" spans="1:19" x14ac:dyDescent="0.25">
      <c r="A272" t="s">
        <v>323</v>
      </c>
      <c r="B272" s="1">
        <v>41688</v>
      </c>
      <c r="C272" s="2" t="s">
        <v>102</v>
      </c>
      <c r="D272" s="3"/>
      <c r="E272" s="3"/>
      <c r="F272">
        <f>IF(ISNUMBER(SEARCH("BB",BrachyTxs[[#This Row],[Physicist(s)]])),1,0)</f>
        <v>0</v>
      </c>
      <c r="G272" s="3">
        <f>IF(ISNUMBER(SEARCH("DZ",BrachyTxs[[#This Row],[Physicist(s)]])),1,0)</f>
        <v>0</v>
      </c>
      <c r="H272" s="3">
        <f>IF(ISNUMBER(SEARCH("ZC",BrachyTxs[[#This Row],[Physicist(s)]])),1,0)</f>
        <v>0</v>
      </c>
      <c r="I272" s="3">
        <f>IF(ISNUMBER(SEARCH("DJ",BrachyTxs[[#This Row],[MD(s)]])),1,0)</f>
        <v>0</v>
      </c>
      <c r="J272" s="3">
        <f>IF(ISNUMBER(SEARCH("JS",BrachyTxs[[#This Row],[MD(s)]])),1,0)</f>
        <v>0</v>
      </c>
      <c r="K272" s="3"/>
      <c r="L272" s="3"/>
      <c r="M272" s="3"/>
      <c r="N272" s="3"/>
      <c r="O272" t="b">
        <f>ValidatePatient(BrachyTxs[[#This Row],[Pt]])</f>
        <v>1</v>
      </c>
      <c r="P272" t="b">
        <f>ValidatePhysicists(BrachyTxs[[#This Row],[Physicist(s)]])</f>
        <v>1</v>
      </c>
      <c r="Q272" t="b">
        <f>ValidateMDs(BrachyTxs[[#This Row],[MD(s)]])</f>
        <v>1</v>
      </c>
      <c r="S272" s="3"/>
    </row>
    <row r="273" spans="1:19" x14ac:dyDescent="0.25">
      <c r="A273" t="s">
        <v>326</v>
      </c>
      <c r="B273" s="1">
        <v>41691</v>
      </c>
      <c r="C273" s="2" t="s">
        <v>93</v>
      </c>
      <c r="D273" s="3"/>
      <c r="E273" s="3"/>
      <c r="F273">
        <f>IF(ISNUMBER(SEARCH("BB",BrachyTxs[[#This Row],[Physicist(s)]])),1,0)</f>
        <v>0</v>
      </c>
      <c r="G273" s="3">
        <f>IF(ISNUMBER(SEARCH("DZ",BrachyTxs[[#This Row],[Physicist(s)]])),1,0)</f>
        <v>0</v>
      </c>
      <c r="H273" s="3">
        <f>IF(ISNUMBER(SEARCH("ZC",BrachyTxs[[#This Row],[Physicist(s)]])),1,0)</f>
        <v>0</v>
      </c>
      <c r="I273" s="3">
        <f>IF(ISNUMBER(SEARCH("DJ",BrachyTxs[[#This Row],[MD(s)]])),1,0)</f>
        <v>0</v>
      </c>
      <c r="J273" s="3">
        <f>IF(ISNUMBER(SEARCH("JS",BrachyTxs[[#This Row],[MD(s)]])),1,0)</f>
        <v>0</v>
      </c>
      <c r="K273" s="3"/>
      <c r="L273" s="3"/>
      <c r="M273" s="3"/>
      <c r="N273" s="3"/>
      <c r="O273" t="b">
        <f>ValidatePatient(BrachyTxs[[#This Row],[Pt]])</f>
        <v>1</v>
      </c>
      <c r="P273" t="b">
        <f>ValidatePhysicists(BrachyTxs[[#This Row],[Physicist(s)]])</f>
        <v>1</v>
      </c>
      <c r="Q273" t="b">
        <f>ValidateMDs(BrachyTxs[[#This Row],[MD(s)]])</f>
        <v>1</v>
      </c>
      <c r="S273" s="3"/>
    </row>
    <row r="274" spans="1:19" x14ac:dyDescent="0.25">
      <c r="A274" t="s">
        <v>323</v>
      </c>
      <c r="B274" s="1">
        <v>41694</v>
      </c>
      <c r="C274" s="2" t="s">
        <v>72</v>
      </c>
      <c r="D274" s="3"/>
      <c r="E274" s="3"/>
      <c r="F274">
        <f>IF(ISNUMBER(SEARCH("BB",BrachyTxs[[#This Row],[Physicist(s)]])),1,0)</f>
        <v>0</v>
      </c>
      <c r="G274" s="3">
        <f>IF(ISNUMBER(SEARCH("DZ",BrachyTxs[[#This Row],[Physicist(s)]])),1,0)</f>
        <v>0</v>
      </c>
      <c r="H274" s="3">
        <f>IF(ISNUMBER(SEARCH("ZC",BrachyTxs[[#This Row],[Physicist(s)]])),1,0)</f>
        <v>0</v>
      </c>
      <c r="I274" s="3">
        <f>IF(ISNUMBER(SEARCH("DJ",BrachyTxs[[#This Row],[MD(s)]])),1,0)</f>
        <v>0</v>
      </c>
      <c r="J274" s="3">
        <f>IF(ISNUMBER(SEARCH("JS",BrachyTxs[[#This Row],[MD(s)]])),1,0)</f>
        <v>0</v>
      </c>
      <c r="K274" s="3"/>
      <c r="L274" s="3"/>
      <c r="M274" s="3"/>
      <c r="N274" s="3"/>
      <c r="O274" t="b">
        <f>ValidatePatient(BrachyTxs[[#This Row],[Pt]])</f>
        <v>1</v>
      </c>
      <c r="P274" t="b">
        <f>ValidatePhysicists(BrachyTxs[[#This Row],[Physicist(s)]])</f>
        <v>1</v>
      </c>
      <c r="Q274" t="b">
        <f>ValidateMDs(BrachyTxs[[#This Row],[MD(s)]])</f>
        <v>1</v>
      </c>
      <c r="S274" s="3"/>
    </row>
    <row r="275" spans="1:19" x14ac:dyDescent="0.25">
      <c r="A275" t="s">
        <v>324</v>
      </c>
      <c r="B275" s="1">
        <v>41695</v>
      </c>
      <c r="C275" s="2" t="s">
        <v>151</v>
      </c>
      <c r="D275" s="3"/>
      <c r="E275" s="3" t="s">
        <v>336</v>
      </c>
      <c r="F275">
        <f>IF(ISNUMBER(SEARCH("BB",BrachyTxs[[#This Row],[Physicist(s)]])),1,0)</f>
        <v>0</v>
      </c>
      <c r="G275" s="3">
        <f>IF(ISNUMBER(SEARCH("DZ",BrachyTxs[[#This Row],[Physicist(s)]])),1,0)</f>
        <v>0</v>
      </c>
      <c r="H275" s="3">
        <f>IF(ISNUMBER(SEARCH("ZC",BrachyTxs[[#This Row],[Physicist(s)]])),1,0)</f>
        <v>0</v>
      </c>
      <c r="I275" s="3">
        <f>IF(ISNUMBER(SEARCH("DJ",BrachyTxs[[#This Row],[MD(s)]])),1,0)</f>
        <v>0</v>
      </c>
      <c r="J275" s="3">
        <f>IF(ISNUMBER(SEARCH("JS",BrachyTxs[[#This Row],[MD(s)]])),1,0)</f>
        <v>1</v>
      </c>
      <c r="K275" s="3"/>
      <c r="L275" s="3"/>
      <c r="M275" s="3"/>
      <c r="N275" s="3"/>
      <c r="O275" t="b">
        <f>ValidatePatient(BrachyTxs[[#This Row],[Pt]])</f>
        <v>1</v>
      </c>
      <c r="P275" t="b">
        <f>ValidatePhysicists(BrachyTxs[[#This Row],[Physicist(s)]])</f>
        <v>1</v>
      </c>
      <c r="Q275" t="b">
        <f>ValidateMDs(BrachyTxs[[#This Row],[MD(s)]])</f>
        <v>0</v>
      </c>
      <c r="S275" s="3"/>
    </row>
    <row r="276" spans="1:19" x14ac:dyDescent="0.25">
      <c r="A276" t="s">
        <v>324</v>
      </c>
      <c r="B276" s="1">
        <v>41709</v>
      </c>
      <c r="C276" s="2" t="s">
        <v>151</v>
      </c>
      <c r="D276" s="3"/>
      <c r="E276" s="3" t="s">
        <v>336</v>
      </c>
      <c r="F276">
        <f>IF(ISNUMBER(SEARCH("BB",BrachyTxs[[#This Row],[Physicist(s)]])),1,0)</f>
        <v>0</v>
      </c>
      <c r="G276" s="3">
        <f>IF(ISNUMBER(SEARCH("DZ",BrachyTxs[[#This Row],[Physicist(s)]])),1,0)</f>
        <v>0</v>
      </c>
      <c r="H276" s="3">
        <f>IF(ISNUMBER(SEARCH("ZC",BrachyTxs[[#This Row],[Physicist(s)]])),1,0)</f>
        <v>0</v>
      </c>
      <c r="I276" s="3">
        <f>IF(ISNUMBER(SEARCH("DJ",BrachyTxs[[#This Row],[MD(s)]])),1,0)</f>
        <v>0</v>
      </c>
      <c r="J276" s="3">
        <f>IF(ISNUMBER(SEARCH("JS",BrachyTxs[[#This Row],[MD(s)]])),1,0)</f>
        <v>1</v>
      </c>
      <c r="K276" s="3"/>
      <c r="L276" s="3"/>
      <c r="M276" s="3"/>
      <c r="N276" s="3"/>
      <c r="O276" t="b">
        <f>ValidatePatient(BrachyTxs[[#This Row],[Pt]])</f>
        <v>1</v>
      </c>
      <c r="P276" t="b">
        <f>ValidatePhysicists(BrachyTxs[[#This Row],[Physicist(s)]])</f>
        <v>1</v>
      </c>
      <c r="Q276" t="b">
        <f>ValidateMDs(BrachyTxs[[#This Row],[MD(s)]])</f>
        <v>0</v>
      </c>
      <c r="S276" s="3"/>
    </row>
    <row r="277" spans="1:19" x14ac:dyDescent="0.25">
      <c r="A277" t="s">
        <v>323</v>
      </c>
      <c r="B277" s="1">
        <v>41715</v>
      </c>
      <c r="C277" s="2" t="s">
        <v>46</v>
      </c>
      <c r="D277" s="3"/>
      <c r="E277" s="3"/>
      <c r="F277">
        <f>IF(ISNUMBER(SEARCH("BB",BrachyTxs[[#This Row],[Physicist(s)]])),1,0)</f>
        <v>0</v>
      </c>
      <c r="G277" s="3">
        <f>IF(ISNUMBER(SEARCH("DZ",BrachyTxs[[#This Row],[Physicist(s)]])),1,0)</f>
        <v>0</v>
      </c>
      <c r="H277" s="3">
        <f>IF(ISNUMBER(SEARCH("ZC",BrachyTxs[[#This Row],[Physicist(s)]])),1,0)</f>
        <v>0</v>
      </c>
      <c r="I277" s="3">
        <f>IF(ISNUMBER(SEARCH("DJ",BrachyTxs[[#This Row],[MD(s)]])),1,0)</f>
        <v>0</v>
      </c>
      <c r="J277" s="3">
        <f>IF(ISNUMBER(SEARCH("JS",BrachyTxs[[#This Row],[MD(s)]])),1,0)</f>
        <v>0</v>
      </c>
      <c r="K277" s="3"/>
      <c r="L277" s="3"/>
      <c r="M277" s="3"/>
      <c r="N277" s="3"/>
      <c r="O277" t="b">
        <f>ValidatePatient(BrachyTxs[[#This Row],[Pt]])</f>
        <v>1</v>
      </c>
      <c r="P277" t="b">
        <f>ValidatePhysicists(BrachyTxs[[#This Row],[Physicist(s)]])</f>
        <v>1</v>
      </c>
      <c r="Q277" t="b">
        <f>ValidateMDs(BrachyTxs[[#This Row],[MD(s)]])</f>
        <v>1</v>
      </c>
      <c r="S277" s="3"/>
    </row>
    <row r="278" spans="1:19" x14ac:dyDescent="0.25">
      <c r="A278" t="s">
        <v>324</v>
      </c>
      <c r="B278" s="1">
        <v>41715</v>
      </c>
      <c r="C278" s="2" t="s">
        <v>130</v>
      </c>
      <c r="D278" s="3"/>
      <c r="E278" s="3" t="s">
        <v>336</v>
      </c>
      <c r="F278">
        <f>IF(ISNUMBER(SEARCH("BB",BrachyTxs[[#This Row],[Physicist(s)]])),1,0)</f>
        <v>0</v>
      </c>
      <c r="G278" s="3">
        <f>IF(ISNUMBER(SEARCH("DZ",BrachyTxs[[#This Row],[Physicist(s)]])),1,0)</f>
        <v>0</v>
      </c>
      <c r="H278" s="3">
        <f>IF(ISNUMBER(SEARCH("ZC",BrachyTxs[[#This Row],[Physicist(s)]])),1,0)</f>
        <v>0</v>
      </c>
      <c r="I278" s="3">
        <f>IF(ISNUMBER(SEARCH("DJ",BrachyTxs[[#This Row],[MD(s)]])),1,0)</f>
        <v>0</v>
      </c>
      <c r="J278" s="3">
        <f>IF(ISNUMBER(SEARCH("JS",BrachyTxs[[#This Row],[MD(s)]])),1,0)</f>
        <v>1</v>
      </c>
      <c r="K278" s="3"/>
      <c r="L278" s="3"/>
      <c r="M278" s="3"/>
      <c r="N278" s="3"/>
      <c r="O278" t="b">
        <f>ValidatePatient(BrachyTxs[[#This Row],[Pt]])</f>
        <v>1</v>
      </c>
      <c r="P278" t="b">
        <f>ValidatePhysicists(BrachyTxs[[#This Row],[Physicist(s)]])</f>
        <v>1</v>
      </c>
      <c r="Q278" t="b">
        <f>ValidateMDs(BrachyTxs[[#This Row],[MD(s)]])</f>
        <v>0</v>
      </c>
      <c r="S278" s="3"/>
    </row>
    <row r="279" spans="1:19" x14ac:dyDescent="0.25">
      <c r="A279" t="s">
        <v>326</v>
      </c>
      <c r="B279" s="1">
        <v>41719</v>
      </c>
      <c r="C279" s="2" t="s">
        <v>93</v>
      </c>
      <c r="D279" s="3"/>
      <c r="E279" s="3"/>
      <c r="F279">
        <f>IF(ISNUMBER(SEARCH("BB",BrachyTxs[[#This Row],[Physicist(s)]])),1,0)</f>
        <v>0</v>
      </c>
      <c r="G279" s="3">
        <f>IF(ISNUMBER(SEARCH("DZ",BrachyTxs[[#This Row],[Physicist(s)]])),1,0)</f>
        <v>0</v>
      </c>
      <c r="H279" s="3">
        <f>IF(ISNUMBER(SEARCH("ZC",BrachyTxs[[#This Row],[Physicist(s)]])),1,0)</f>
        <v>0</v>
      </c>
      <c r="I279" s="3">
        <f>IF(ISNUMBER(SEARCH("DJ",BrachyTxs[[#This Row],[MD(s)]])),1,0)</f>
        <v>0</v>
      </c>
      <c r="J279" s="3">
        <f>IF(ISNUMBER(SEARCH("JS",BrachyTxs[[#This Row],[MD(s)]])),1,0)</f>
        <v>0</v>
      </c>
      <c r="K279" s="3"/>
      <c r="L279" s="3"/>
      <c r="M279" s="3"/>
      <c r="N279" s="3"/>
      <c r="O279" t="b">
        <f>ValidatePatient(BrachyTxs[[#This Row],[Pt]])</f>
        <v>1</v>
      </c>
      <c r="P279" t="b">
        <f>ValidatePhysicists(BrachyTxs[[#This Row],[Physicist(s)]])</f>
        <v>1</v>
      </c>
      <c r="Q279" t="b">
        <f>ValidateMDs(BrachyTxs[[#This Row],[MD(s)]])</f>
        <v>1</v>
      </c>
      <c r="S279" s="3"/>
    </row>
    <row r="280" spans="1:19" x14ac:dyDescent="0.25">
      <c r="A280" t="s">
        <v>323</v>
      </c>
      <c r="B280" s="1">
        <v>41726</v>
      </c>
      <c r="C280" s="2" t="s">
        <v>196</v>
      </c>
      <c r="D280" s="3"/>
      <c r="E280" s="3"/>
      <c r="F280">
        <f>IF(ISNUMBER(SEARCH("BB",BrachyTxs[[#This Row],[Physicist(s)]])),1,0)</f>
        <v>0</v>
      </c>
      <c r="G280" s="3">
        <f>IF(ISNUMBER(SEARCH("DZ",BrachyTxs[[#This Row],[Physicist(s)]])),1,0)</f>
        <v>0</v>
      </c>
      <c r="H280" s="3">
        <f>IF(ISNUMBER(SEARCH("ZC",BrachyTxs[[#This Row],[Physicist(s)]])),1,0)</f>
        <v>0</v>
      </c>
      <c r="I280" s="3">
        <f>IF(ISNUMBER(SEARCH("DJ",BrachyTxs[[#This Row],[MD(s)]])),1,0)</f>
        <v>0</v>
      </c>
      <c r="J280" s="3">
        <f>IF(ISNUMBER(SEARCH("JS",BrachyTxs[[#This Row],[MD(s)]])),1,0)</f>
        <v>0</v>
      </c>
      <c r="K280" s="3"/>
      <c r="L280" s="3"/>
      <c r="M280" s="3"/>
      <c r="N280" s="3"/>
      <c r="O280" t="b">
        <f>ValidatePatient(BrachyTxs[[#This Row],[Pt]])</f>
        <v>1</v>
      </c>
      <c r="P280" t="b">
        <f>ValidatePhysicists(BrachyTxs[[#This Row],[Physicist(s)]])</f>
        <v>1</v>
      </c>
      <c r="Q280" t="b">
        <f>ValidateMDs(BrachyTxs[[#This Row],[MD(s)]])</f>
        <v>1</v>
      </c>
      <c r="S280" s="3"/>
    </row>
    <row r="281" spans="1:19" x14ac:dyDescent="0.25">
      <c r="A281" t="s">
        <v>326</v>
      </c>
      <c r="B281" s="1">
        <v>41747</v>
      </c>
      <c r="C281" s="2" t="s">
        <v>93</v>
      </c>
      <c r="D281" s="3"/>
      <c r="E281" s="3"/>
      <c r="F281">
        <f>IF(ISNUMBER(SEARCH("BB",BrachyTxs[[#This Row],[Physicist(s)]])),1,0)</f>
        <v>0</v>
      </c>
      <c r="G281" s="3">
        <f>IF(ISNUMBER(SEARCH("DZ",BrachyTxs[[#This Row],[Physicist(s)]])),1,0)</f>
        <v>0</v>
      </c>
      <c r="H281" s="3">
        <f>IF(ISNUMBER(SEARCH("ZC",BrachyTxs[[#This Row],[Physicist(s)]])),1,0)</f>
        <v>0</v>
      </c>
      <c r="I281" s="3">
        <f>IF(ISNUMBER(SEARCH("DJ",BrachyTxs[[#This Row],[MD(s)]])),1,0)</f>
        <v>0</v>
      </c>
      <c r="J281" s="3">
        <f>IF(ISNUMBER(SEARCH("JS",BrachyTxs[[#This Row],[MD(s)]])),1,0)</f>
        <v>0</v>
      </c>
      <c r="K281" s="3"/>
      <c r="L281" s="3"/>
      <c r="M281" s="3"/>
      <c r="N281" s="3"/>
      <c r="O281" t="b">
        <f>ValidatePatient(BrachyTxs[[#This Row],[Pt]])</f>
        <v>1</v>
      </c>
      <c r="P281" t="b">
        <f>ValidatePhysicists(BrachyTxs[[#This Row],[Physicist(s)]])</f>
        <v>1</v>
      </c>
      <c r="Q281" t="b">
        <f>ValidateMDs(BrachyTxs[[#This Row],[MD(s)]])</f>
        <v>1</v>
      </c>
      <c r="S281" s="3"/>
    </row>
    <row r="282" spans="1:19" x14ac:dyDescent="0.25">
      <c r="A282" t="s">
        <v>324</v>
      </c>
      <c r="B282" s="1">
        <v>41758</v>
      </c>
      <c r="C282" s="2" t="s">
        <v>108</v>
      </c>
      <c r="D282" s="3"/>
      <c r="E282" s="3"/>
      <c r="F282">
        <f>IF(ISNUMBER(SEARCH("BB",BrachyTxs[[#This Row],[Physicist(s)]])),1,0)</f>
        <v>0</v>
      </c>
      <c r="G282" s="3">
        <f>IF(ISNUMBER(SEARCH("DZ",BrachyTxs[[#This Row],[Physicist(s)]])),1,0)</f>
        <v>0</v>
      </c>
      <c r="H282" s="3">
        <f>IF(ISNUMBER(SEARCH("ZC",BrachyTxs[[#This Row],[Physicist(s)]])),1,0)</f>
        <v>0</v>
      </c>
      <c r="I282" s="3">
        <f>IF(ISNUMBER(SEARCH("DJ",BrachyTxs[[#This Row],[MD(s)]])),1,0)</f>
        <v>0</v>
      </c>
      <c r="J282" s="3">
        <f>IF(ISNUMBER(SEARCH("JS",BrachyTxs[[#This Row],[MD(s)]])),1,0)</f>
        <v>0</v>
      </c>
      <c r="K282" s="3"/>
      <c r="L282" s="3"/>
      <c r="M282" s="3"/>
      <c r="N282" s="3"/>
      <c r="O282" t="b">
        <f>ValidatePatient(BrachyTxs[[#This Row],[Pt]])</f>
        <v>1</v>
      </c>
      <c r="P282" t="b">
        <f>ValidatePhysicists(BrachyTxs[[#This Row],[Physicist(s)]])</f>
        <v>1</v>
      </c>
      <c r="Q282" t="b">
        <f>ValidateMDs(BrachyTxs[[#This Row],[MD(s)]])</f>
        <v>1</v>
      </c>
      <c r="S282" s="3"/>
    </row>
    <row r="283" spans="1:19" x14ac:dyDescent="0.25">
      <c r="A283" t="s">
        <v>323</v>
      </c>
      <c r="B283" s="1">
        <v>41759</v>
      </c>
      <c r="C283" s="2" t="s">
        <v>140</v>
      </c>
      <c r="D283" s="3"/>
      <c r="E283" s="3"/>
      <c r="F283">
        <f>IF(ISNUMBER(SEARCH("BB",BrachyTxs[[#This Row],[Physicist(s)]])),1,0)</f>
        <v>0</v>
      </c>
      <c r="G283" s="3">
        <f>IF(ISNUMBER(SEARCH("DZ",BrachyTxs[[#This Row],[Physicist(s)]])),1,0)</f>
        <v>0</v>
      </c>
      <c r="H283" s="3">
        <f>IF(ISNUMBER(SEARCH("ZC",BrachyTxs[[#This Row],[Physicist(s)]])),1,0)</f>
        <v>0</v>
      </c>
      <c r="I283" s="3">
        <f>IF(ISNUMBER(SEARCH("DJ",BrachyTxs[[#This Row],[MD(s)]])),1,0)</f>
        <v>0</v>
      </c>
      <c r="J283" s="3">
        <f>IF(ISNUMBER(SEARCH("JS",BrachyTxs[[#This Row],[MD(s)]])),1,0)</f>
        <v>0</v>
      </c>
      <c r="K283" s="3"/>
      <c r="L283" s="3"/>
      <c r="M283" s="3"/>
      <c r="N283" s="3"/>
      <c r="O283" t="b">
        <f>ValidatePatient(BrachyTxs[[#This Row],[Pt]])</f>
        <v>1</v>
      </c>
      <c r="P283" t="b">
        <f>ValidatePhysicists(BrachyTxs[[#This Row],[Physicist(s)]])</f>
        <v>1</v>
      </c>
      <c r="Q283" t="b">
        <f>ValidateMDs(BrachyTxs[[#This Row],[MD(s)]])</f>
        <v>1</v>
      </c>
      <c r="S283" s="3"/>
    </row>
    <row r="284" spans="1:19" x14ac:dyDescent="0.25">
      <c r="A284" t="s">
        <v>326</v>
      </c>
      <c r="B284" s="1">
        <v>41775</v>
      </c>
      <c r="C284" s="2" t="s">
        <v>93</v>
      </c>
      <c r="D284" s="3"/>
      <c r="E284" s="3"/>
      <c r="F284">
        <f>IF(ISNUMBER(SEARCH("BB",BrachyTxs[[#This Row],[Physicist(s)]])),1,0)</f>
        <v>0</v>
      </c>
      <c r="G284" s="3">
        <f>IF(ISNUMBER(SEARCH("DZ",BrachyTxs[[#This Row],[Physicist(s)]])),1,0)</f>
        <v>0</v>
      </c>
      <c r="H284" s="3">
        <f>IF(ISNUMBER(SEARCH("ZC",BrachyTxs[[#This Row],[Physicist(s)]])),1,0)</f>
        <v>0</v>
      </c>
      <c r="I284" s="3">
        <f>IF(ISNUMBER(SEARCH("DJ",BrachyTxs[[#This Row],[MD(s)]])),1,0)</f>
        <v>0</v>
      </c>
      <c r="J284" s="3">
        <f>IF(ISNUMBER(SEARCH("JS",BrachyTxs[[#This Row],[MD(s)]])),1,0)</f>
        <v>0</v>
      </c>
      <c r="K284" s="3"/>
      <c r="L284" s="3"/>
      <c r="M284" s="3"/>
      <c r="N284" s="3"/>
      <c r="O284" t="b">
        <f>ValidatePatient(BrachyTxs[[#This Row],[Pt]])</f>
        <v>1</v>
      </c>
      <c r="P284" t="b">
        <f>ValidatePhysicists(BrachyTxs[[#This Row],[Physicist(s)]])</f>
        <v>1</v>
      </c>
      <c r="Q284" t="b">
        <f>ValidateMDs(BrachyTxs[[#This Row],[MD(s)]])</f>
        <v>1</v>
      </c>
      <c r="S284" s="3"/>
    </row>
    <row r="285" spans="1:19" x14ac:dyDescent="0.25">
      <c r="A285" t="s">
        <v>326</v>
      </c>
      <c r="B285" s="1">
        <v>41803</v>
      </c>
      <c r="C285" s="2" t="s">
        <v>93</v>
      </c>
      <c r="D285" s="3"/>
      <c r="E285" s="3"/>
      <c r="F285">
        <f>IF(ISNUMBER(SEARCH("BB",BrachyTxs[[#This Row],[Physicist(s)]])),1,0)</f>
        <v>0</v>
      </c>
      <c r="G285" s="3">
        <f>IF(ISNUMBER(SEARCH("DZ",BrachyTxs[[#This Row],[Physicist(s)]])),1,0)</f>
        <v>0</v>
      </c>
      <c r="H285" s="3">
        <f>IF(ISNUMBER(SEARCH("ZC",BrachyTxs[[#This Row],[Physicist(s)]])),1,0)</f>
        <v>0</v>
      </c>
      <c r="I285" s="3">
        <f>IF(ISNUMBER(SEARCH("DJ",BrachyTxs[[#This Row],[MD(s)]])),1,0)</f>
        <v>0</v>
      </c>
      <c r="J285" s="3">
        <f>IF(ISNUMBER(SEARCH("JS",BrachyTxs[[#This Row],[MD(s)]])),1,0)</f>
        <v>0</v>
      </c>
      <c r="K285" s="3"/>
      <c r="L285" s="3"/>
      <c r="M285" s="3"/>
      <c r="N285" s="3"/>
      <c r="O285" t="b">
        <f>ValidatePatient(BrachyTxs[[#This Row],[Pt]])</f>
        <v>1</v>
      </c>
      <c r="P285" t="b">
        <f>ValidatePhysicists(BrachyTxs[[#This Row],[Physicist(s)]])</f>
        <v>1</v>
      </c>
      <c r="Q285" t="b">
        <f>ValidateMDs(BrachyTxs[[#This Row],[MD(s)]])</f>
        <v>1</v>
      </c>
      <c r="S285" s="3"/>
    </row>
    <row r="286" spans="1:19" x14ac:dyDescent="0.25">
      <c r="A286" t="s">
        <v>323</v>
      </c>
      <c r="B286" s="1">
        <v>41803</v>
      </c>
      <c r="C286" s="2" t="s">
        <v>389</v>
      </c>
      <c r="D286" s="3"/>
      <c r="E286" s="3"/>
      <c r="F286">
        <f>IF(ISNUMBER(SEARCH("BB",BrachyTxs[[#This Row],[Physicist(s)]])),1,0)</f>
        <v>0</v>
      </c>
      <c r="G286" s="3">
        <f>IF(ISNUMBER(SEARCH("DZ",BrachyTxs[[#This Row],[Physicist(s)]])),1,0)</f>
        <v>0</v>
      </c>
      <c r="H286" s="3">
        <f>IF(ISNUMBER(SEARCH("ZC",BrachyTxs[[#This Row],[Physicist(s)]])),1,0)</f>
        <v>0</v>
      </c>
      <c r="I286" s="3">
        <f>IF(ISNUMBER(SEARCH("DJ",BrachyTxs[[#This Row],[MD(s)]])),1,0)</f>
        <v>0</v>
      </c>
      <c r="J286" s="3">
        <f>IF(ISNUMBER(SEARCH("JS",BrachyTxs[[#This Row],[MD(s)]])),1,0)</f>
        <v>0</v>
      </c>
      <c r="K286" s="3"/>
      <c r="L286" s="3"/>
      <c r="M286" s="3"/>
      <c r="N286" s="3"/>
      <c r="O286" t="b">
        <f>ValidatePatient(BrachyTxs[[#This Row],[Pt]])</f>
        <v>0</v>
      </c>
      <c r="P286" t="b">
        <f>ValidatePhysicists(BrachyTxs[[#This Row],[Physicist(s)]])</f>
        <v>1</v>
      </c>
      <c r="Q286" t="b">
        <f>ValidateMDs(BrachyTxs[[#This Row],[MD(s)]])</f>
        <v>1</v>
      </c>
      <c r="S286" s="3"/>
    </row>
    <row r="287" spans="1:19" x14ac:dyDescent="0.25">
      <c r="A287" t="s">
        <v>325</v>
      </c>
      <c r="B287" s="1">
        <v>41862</v>
      </c>
      <c r="C287" s="2" t="s">
        <v>71</v>
      </c>
      <c r="D287" s="3"/>
      <c r="E287" s="3"/>
      <c r="F287">
        <f>IF(ISNUMBER(SEARCH("BB",BrachyTxs[[#This Row],[Physicist(s)]])),1,0)</f>
        <v>0</v>
      </c>
      <c r="G287" s="3">
        <f>IF(ISNUMBER(SEARCH("DZ",BrachyTxs[[#This Row],[Physicist(s)]])),1,0)</f>
        <v>0</v>
      </c>
      <c r="H287" s="3">
        <f>IF(ISNUMBER(SEARCH("ZC",BrachyTxs[[#This Row],[Physicist(s)]])),1,0)</f>
        <v>0</v>
      </c>
      <c r="I287" s="3">
        <f>IF(ISNUMBER(SEARCH("DJ",BrachyTxs[[#This Row],[MD(s)]])),1,0)</f>
        <v>0</v>
      </c>
      <c r="J287" s="3">
        <f>IF(ISNUMBER(SEARCH("JS",BrachyTxs[[#This Row],[MD(s)]])),1,0)</f>
        <v>0</v>
      </c>
      <c r="K287" s="3"/>
      <c r="L287" s="3"/>
      <c r="M287" s="3"/>
      <c r="N287" s="3"/>
      <c r="O287" t="b">
        <f>ValidatePatient(BrachyTxs[[#This Row],[Pt]])</f>
        <v>1</v>
      </c>
      <c r="P287" t="b">
        <f>ValidatePhysicists(BrachyTxs[[#This Row],[Physicist(s)]])</f>
        <v>1</v>
      </c>
      <c r="Q287" t="b">
        <f>ValidateMDs(BrachyTxs[[#This Row],[MD(s)]])</f>
        <v>1</v>
      </c>
      <c r="S287" s="3"/>
    </row>
    <row r="288" spans="1:19" x14ac:dyDescent="0.25">
      <c r="A288" t="s">
        <v>325</v>
      </c>
      <c r="B288" s="1">
        <v>41862</v>
      </c>
      <c r="C288" s="2" t="s">
        <v>304</v>
      </c>
      <c r="D288" s="3"/>
      <c r="E288" s="3"/>
      <c r="F288">
        <f>IF(ISNUMBER(SEARCH("BB",BrachyTxs[[#This Row],[Physicist(s)]])),1,0)</f>
        <v>0</v>
      </c>
      <c r="G288" s="3">
        <f>IF(ISNUMBER(SEARCH("DZ",BrachyTxs[[#This Row],[Physicist(s)]])),1,0)</f>
        <v>0</v>
      </c>
      <c r="H288" s="3">
        <f>IF(ISNUMBER(SEARCH("ZC",BrachyTxs[[#This Row],[Physicist(s)]])),1,0)</f>
        <v>0</v>
      </c>
      <c r="I288" s="3">
        <f>IF(ISNUMBER(SEARCH("DJ",BrachyTxs[[#This Row],[MD(s)]])),1,0)</f>
        <v>0</v>
      </c>
      <c r="J288" s="3">
        <f>IF(ISNUMBER(SEARCH("JS",BrachyTxs[[#This Row],[MD(s)]])),1,0)</f>
        <v>0</v>
      </c>
      <c r="K288" s="3"/>
      <c r="L288" s="3"/>
      <c r="M288" s="3"/>
      <c r="N288" s="3"/>
      <c r="O288" t="b">
        <f>ValidatePatient(BrachyTxs[[#This Row],[Pt]])</f>
        <v>1</v>
      </c>
      <c r="P288" t="b">
        <f>ValidatePhysicists(BrachyTxs[[#This Row],[Physicist(s)]])</f>
        <v>1</v>
      </c>
      <c r="Q288" t="b">
        <f>ValidateMDs(BrachyTxs[[#This Row],[MD(s)]])</f>
        <v>1</v>
      </c>
      <c r="S288" s="3"/>
    </row>
    <row r="289" spans="1:19" x14ac:dyDescent="0.25">
      <c r="A289" t="s">
        <v>324</v>
      </c>
      <c r="B289" s="1">
        <v>41925</v>
      </c>
      <c r="C289" s="2" t="s">
        <v>219</v>
      </c>
      <c r="D289" s="3"/>
      <c r="E289" s="3"/>
      <c r="F289">
        <f>IF(ISNUMBER(SEARCH("BB",BrachyTxs[[#This Row],[Physicist(s)]])),1,0)</f>
        <v>0</v>
      </c>
      <c r="G289" s="3">
        <f>IF(ISNUMBER(SEARCH("DZ",BrachyTxs[[#This Row],[Physicist(s)]])),1,0)</f>
        <v>0</v>
      </c>
      <c r="H289" s="3">
        <f>IF(ISNUMBER(SEARCH("ZC",BrachyTxs[[#This Row],[Physicist(s)]])),1,0)</f>
        <v>0</v>
      </c>
      <c r="I289" s="3">
        <f>IF(ISNUMBER(SEARCH("DJ",BrachyTxs[[#This Row],[MD(s)]])),1,0)</f>
        <v>0</v>
      </c>
      <c r="J289" s="3">
        <f>IF(ISNUMBER(SEARCH("JS",BrachyTxs[[#This Row],[MD(s)]])),1,0)</f>
        <v>0</v>
      </c>
      <c r="K289" s="3"/>
      <c r="L289" s="3"/>
      <c r="M289" s="3"/>
      <c r="N289" s="3"/>
      <c r="O289" t="b">
        <f>ValidatePatient(BrachyTxs[[#This Row],[Pt]])</f>
        <v>1</v>
      </c>
      <c r="P289" t="b">
        <f>ValidatePhysicists(BrachyTxs[[#This Row],[Physicist(s)]])</f>
        <v>1</v>
      </c>
      <c r="Q289" t="b">
        <f>ValidateMDs(BrachyTxs[[#This Row],[MD(s)]])</f>
        <v>1</v>
      </c>
      <c r="S289" s="3"/>
    </row>
    <row r="290" spans="1:19" x14ac:dyDescent="0.25">
      <c r="A290" t="s">
        <v>325</v>
      </c>
      <c r="B290" s="1">
        <v>41929</v>
      </c>
      <c r="C290" s="2" t="s">
        <v>147</v>
      </c>
      <c r="D290" s="3"/>
      <c r="E290" s="3"/>
      <c r="F290">
        <f>IF(ISNUMBER(SEARCH("BB",BrachyTxs[[#This Row],[Physicist(s)]])),1,0)</f>
        <v>0</v>
      </c>
      <c r="G290" s="3">
        <f>IF(ISNUMBER(SEARCH("DZ",BrachyTxs[[#This Row],[Physicist(s)]])),1,0)</f>
        <v>0</v>
      </c>
      <c r="H290" s="3">
        <f>IF(ISNUMBER(SEARCH("ZC",BrachyTxs[[#This Row],[Physicist(s)]])),1,0)</f>
        <v>0</v>
      </c>
      <c r="I290" s="3">
        <f>IF(ISNUMBER(SEARCH("DJ",BrachyTxs[[#This Row],[MD(s)]])),1,0)</f>
        <v>0</v>
      </c>
      <c r="J290" s="3">
        <f>IF(ISNUMBER(SEARCH("JS",BrachyTxs[[#This Row],[MD(s)]])),1,0)</f>
        <v>0</v>
      </c>
      <c r="K290" s="3"/>
      <c r="L290" s="3"/>
      <c r="M290" s="3"/>
      <c r="N290" s="3"/>
      <c r="O290" t="b">
        <f>ValidatePatient(BrachyTxs[[#This Row],[Pt]])</f>
        <v>1</v>
      </c>
      <c r="P290" t="b">
        <f>ValidatePhysicists(BrachyTxs[[#This Row],[Physicist(s)]])</f>
        <v>1</v>
      </c>
      <c r="Q290" t="b">
        <f>ValidateMDs(BrachyTxs[[#This Row],[MD(s)]])</f>
        <v>1</v>
      </c>
      <c r="S290" s="3"/>
    </row>
    <row r="291" spans="1:19" x14ac:dyDescent="0.25">
      <c r="A291" t="s">
        <v>323</v>
      </c>
      <c r="B291" s="1">
        <v>41932</v>
      </c>
      <c r="C291" s="2" t="s">
        <v>117</v>
      </c>
      <c r="D291" s="3"/>
      <c r="E291" s="3"/>
      <c r="F291">
        <f>IF(ISNUMBER(SEARCH("BB",BrachyTxs[[#This Row],[Physicist(s)]])),1,0)</f>
        <v>0</v>
      </c>
      <c r="G291" s="3">
        <f>IF(ISNUMBER(SEARCH("DZ",BrachyTxs[[#This Row],[Physicist(s)]])),1,0)</f>
        <v>0</v>
      </c>
      <c r="H291" s="3">
        <f>IF(ISNUMBER(SEARCH("ZC",BrachyTxs[[#This Row],[Physicist(s)]])),1,0)</f>
        <v>0</v>
      </c>
      <c r="I291" s="3">
        <f>IF(ISNUMBER(SEARCH("DJ",BrachyTxs[[#This Row],[MD(s)]])),1,0)</f>
        <v>0</v>
      </c>
      <c r="J291" s="3">
        <f>IF(ISNUMBER(SEARCH("JS",BrachyTxs[[#This Row],[MD(s)]])),1,0)</f>
        <v>0</v>
      </c>
      <c r="K291" s="3"/>
      <c r="L291" s="3"/>
      <c r="M291" s="3"/>
      <c r="N291" s="3"/>
      <c r="O291" t="b">
        <f>ValidatePatient(BrachyTxs[[#This Row],[Pt]])</f>
        <v>1</v>
      </c>
      <c r="P291" t="b">
        <f>ValidatePhysicists(BrachyTxs[[#This Row],[Physicist(s)]])</f>
        <v>1</v>
      </c>
      <c r="Q291" t="b">
        <f>ValidateMDs(BrachyTxs[[#This Row],[MD(s)]])</f>
        <v>1</v>
      </c>
      <c r="S291" s="3"/>
    </row>
    <row r="292" spans="1:19" x14ac:dyDescent="0.25">
      <c r="A292" t="s">
        <v>323</v>
      </c>
      <c r="B292" s="1">
        <v>41935</v>
      </c>
      <c r="C292" s="2" t="s">
        <v>197</v>
      </c>
      <c r="D292" s="3"/>
      <c r="E292" s="3"/>
      <c r="F292">
        <f>IF(ISNUMBER(SEARCH("BB",BrachyTxs[[#This Row],[Physicist(s)]])),1,0)</f>
        <v>0</v>
      </c>
      <c r="G292" s="3">
        <f>IF(ISNUMBER(SEARCH("DZ",BrachyTxs[[#This Row],[Physicist(s)]])),1,0)</f>
        <v>0</v>
      </c>
      <c r="H292" s="3">
        <f>IF(ISNUMBER(SEARCH("ZC",BrachyTxs[[#This Row],[Physicist(s)]])),1,0)</f>
        <v>0</v>
      </c>
      <c r="I292" s="3">
        <f>IF(ISNUMBER(SEARCH("DJ",BrachyTxs[[#This Row],[MD(s)]])),1,0)</f>
        <v>0</v>
      </c>
      <c r="J292" s="3">
        <f>IF(ISNUMBER(SEARCH("JS",BrachyTxs[[#This Row],[MD(s)]])),1,0)</f>
        <v>0</v>
      </c>
      <c r="K292" s="3"/>
      <c r="L292" s="3"/>
      <c r="M292" s="3"/>
      <c r="N292" s="3"/>
      <c r="O292" t="b">
        <f>ValidatePatient(BrachyTxs[[#This Row],[Pt]])</f>
        <v>1</v>
      </c>
      <c r="P292" t="b">
        <f>ValidatePhysicists(BrachyTxs[[#This Row],[Physicist(s)]])</f>
        <v>1</v>
      </c>
      <c r="Q292" t="b">
        <f>ValidateMDs(BrachyTxs[[#This Row],[MD(s)]])</f>
        <v>1</v>
      </c>
      <c r="S292" s="3"/>
    </row>
    <row r="293" spans="1:19" x14ac:dyDescent="0.25">
      <c r="A293" t="s">
        <v>323</v>
      </c>
      <c r="B293" s="1">
        <v>41956</v>
      </c>
      <c r="C293" s="2" t="s">
        <v>3</v>
      </c>
      <c r="D293" s="3"/>
      <c r="E293" s="3"/>
      <c r="F293">
        <f>IF(ISNUMBER(SEARCH("BB",BrachyTxs[[#This Row],[Physicist(s)]])),1,0)</f>
        <v>0</v>
      </c>
      <c r="G293" s="3">
        <f>IF(ISNUMBER(SEARCH("DZ",BrachyTxs[[#This Row],[Physicist(s)]])),1,0)</f>
        <v>0</v>
      </c>
      <c r="H293" s="3">
        <f>IF(ISNUMBER(SEARCH("ZC",BrachyTxs[[#This Row],[Physicist(s)]])),1,0)</f>
        <v>0</v>
      </c>
      <c r="I293" s="3">
        <f>IF(ISNUMBER(SEARCH("DJ",BrachyTxs[[#This Row],[MD(s)]])),1,0)</f>
        <v>0</v>
      </c>
      <c r="J293" s="3">
        <f>IF(ISNUMBER(SEARCH("JS",BrachyTxs[[#This Row],[MD(s)]])),1,0)</f>
        <v>0</v>
      </c>
      <c r="K293" s="3"/>
      <c r="L293" s="3"/>
      <c r="M293" s="3"/>
      <c r="N293" s="3"/>
      <c r="O293" t="b">
        <f>ValidatePatient(BrachyTxs[[#This Row],[Pt]])</f>
        <v>1</v>
      </c>
      <c r="P293" t="b">
        <f>ValidatePhysicists(BrachyTxs[[#This Row],[Physicist(s)]])</f>
        <v>1</v>
      </c>
      <c r="Q293" t="b">
        <f>ValidateMDs(BrachyTxs[[#This Row],[MD(s)]])</f>
        <v>1</v>
      </c>
      <c r="S293" s="3"/>
    </row>
    <row r="294" spans="1:19" x14ac:dyDescent="0.25">
      <c r="A294" t="s">
        <v>324</v>
      </c>
      <c r="B294" s="1">
        <v>41956</v>
      </c>
      <c r="C294" s="2" t="s">
        <v>166</v>
      </c>
      <c r="D294" s="3"/>
      <c r="E294" s="3"/>
      <c r="F294">
        <f>IF(ISNUMBER(SEARCH("BB",BrachyTxs[[#This Row],[Physicist(s)]])),1,0)</f>
        <v>0</v>
      </c>
      <c r="G294" s="3">
        <f>IF(ISNUMBER(SEARCH("DZ",BrachyTxs[[#This Row],[Physicist(s)]])),1,0)</f>
        <v>0</v>
      </c>
      <c r="H294" s="3">
        <f>IF(ISNUMBER(SEARCH("ZC",BrachyTxs[[#This Row],[Physicist(s)]])),1,0)</f>
        <v>0</v>
      </c>
      <c r="I294" s="3">
        <f>IF(ISNUMBER(SEARCH("DJ",BrachyTxs[[#This Row],[MD(s)]])),1,0)</f>
        <v>0</v>
      </c>
      <c r="J294" s="3">
        <f>IF(ISNUMBER(SEARCH("JS",BrachyTxs[[#This Row],[MD(s)]])),1,0)</f>
        <v>0</v>
      </c>
      <c r="K294" s="3"/>
      <c r="L294" s="3"/>
      <c r="M294" s="3"/>
      <c r="N294" s="3"/>
      <c r="O294" t="b">
        <f>ValidatePatient(BrachyTxs[[#This Row],[Pt]])</f>
        <v>1</v>
      </c>
      <c r="P294" t="b">
        <f>ValidatePhysicists(BrachyTxs[[#This Row],[Physicist(s)]])</f>
        <v>1</v>
      </c>
      <c r="Q294" t="b">
        <f>ValidateMDs(BrachyTxs[[#This Row],[MD(s)]])</f>
        <v>1</v>
      </c>
      <c r="S294" s="3"/>
    </row>
    <row r="295" spans="1:19" x14ac:dyDescent="0.25">
      <c r="A295" t="s">
        <v>323</v>
      </c>
      <c r="B295" s="1">
        <v>41960</v>
      </c>
      <c r="C295" s="2" t="s">
        <v>313</v>
      </c>
      <c r="D295" s="3"/>
      <c r="E295" s="3"/>
      <c r="F295">
        <f>IF(ISNUMBER(SEARCH("BB",BrachyTxs[[#This Row],[Physicist(s)]])),1,0)</f>
        <v>0</v>
      </c>
      <c r="G295" s="3">
        <f>IF(ISNUMBER(SEARCH("DZ",BrachyTxs[[#This Row],[Physicist(s)]])),1,0)</f>
        <v>0</v>
      </c>
      <c r="H295" s="3">
        <f>IF(ISNUMBER(SEARCH("ZC",BrachyTxs[[#This Row],[Physicist(s)]])),1,0)</f>
        <v>0</v>
      </c>
      <c r="I295" s="3">
        <f>IF(ISNUMBER(SEARCH("DJ",BrachyTxs[[#This Row],[MD(s)]])),1,0)</f>
        <v>0</v>
      </c>
      <c r="J295" s="3">
        <f>IF(ISNUMBER(SEARCH("JS",BrachyTxs[[#This Row],[MD(s)]])),1,0)</f>
        <v>0</v>
      </c>
      <c r="K295" s="3"/>
      <c r="L295" s="3"/>
      <c r="M295" s="3"/>
      <c r="N295" s="3"/>
      <c r="O295" t="b">
        <f>ValidatePatient(BrachyTxs[[#This Row],[Pt]])</f>
        <v>1</v>
      </c>
      <c r="P295" t="b">
        <f>ValidatePhysicists(BrachyTxs[[#This Row],[Physicist(s)]])</f>
        <v>1</v>
      </c>
      <c r="Q295" t="b">
        <f>ValidateMDs(BrachyTxs[[#This Row],[MD(s)]])</f>
        <v>1</v>
      </c>
      <c r="S295" s="3"/>
    </row>
    <row r="296" spans="1:19" x14ac:dyDescent="0.25">
      <c r="A296" t="s">
        <v>324</v>
      </c>
      <c r="B296" s="1">
        <v>42067</v>
      </c>
      <c r="C296" s="2" t="s">
        <v>265</v>
      </c>
      <c r="D296" s="3"/>
      <c r="E296" s="3"/>
      <c r="F296">
        <f>IF(ISNUMBER(SEARCH("BB",BrachyTxs[[#This Row],[Physicist(s)]])),1,0)</f>
        <v>0</v>
      </c>
      <c r="G296" s="3">
        <f>IF(ISNUMBER(SEARCH("DZ",BrachyTxs[[#This Row],[Physicist(s)]])),1,0)</f>
        <v>0</v>
      </c>
      <c r="H296" s="3">
        <f>IF(ISNUMBER(SEARCH("ZC",BrachyTxs[[#This Row],[Physicist(s)]])),1,0)</f>
        <v>0</v>
      </c>
      <c r="I296" s="3">
        <f>IF(ISNUMBER(SEARCH("DJ",BrachyTxs[[#This Row],[MD(s)]])),1,0)</f>
        <v>0</v>
      </c>
      <c r="J296" s="3">
        <f>IF(ISNUMBER(SEARCH("JS",BrachyTxs[[#This Row],[MD(s)]])),1,0)</f>
        <v>0</v>
      </c>
      <c r="K296" s="3"/>
      <c r="L296" s="3"/>
      <c r="M296" s="3"/>
      <c r="N296" s="3"/>
      <c r="O296" t="b">
        <f>ValidatePatient(BrachyTxs[[#This Row],[Pt]])</f>
        <v>1</v>
      </c>
      <c r="P296" t="b">
        <f>ValidatePhysicists(BrachyTxs[[#This Row],[Physicist(s)]])</f>
        <v>1</v>
      </c>
      <c r="Q296" t="b">
        <f>ValidateMDs(BrachyTxs[[#This Row],[MD(s)]])</f>
        <v>1</v>
      </c>
      <c r="S296" s="3"/>
    </row>
    <row r="297" spans="1:19" x14ac:dyDescent="0.25">
      <c r="A297" t="s">
        <v>324</v>
      </c>
      <c r="B297" s="1">
        <v>42081</v>
      </c>
      <c r="C297" s="2" t="s">
        <v>265</v>
      </c>
      <c r="D297" s="3"/>
      <c r="E297" s="3"/>
      <c r="F297">
        <f>IF(ISNUMBER(SEARCH("BB",BrachyTxs[[#This Row],[Physicist(s)]])),1,0)</f>
        <v>0</v>
      </c>
      <c r="G297" s="3">
        <f>IF(ISNUMBER(SEARCH("DZ",BrachyTxs[[#This Row],[Physicist(s)]])),1,0)</f>
        <v>0</v>
      </c>
      <c r="H297" s="3">
        <f>IF(ISNUMBER(SEARCH("ZC",BrachyTxs[[#This Row],[Physicist(s)]])),1,0)</f>
        <v>0</v>
      </c>
      <c r="I297" s="3">
        <f>IF(ISNUMBER(SEARCH("DJ",BrachyTxs[[#This Row],[MD(s)]])),1,0)</f>
        <v>0</v>
      </c>
      <c r="J297" s="3">
        <f>IF(ISNUMBER(SEARCH("JS",BrachyTxs[[#This Row],[MD(s)]])),1,0)</f>
        <v>0</v>
      </c>
      <c r="K297" s="3"/>
      <c r="L297" s="3"/>
      <c r="M297" s="3"/>
      <c r="N297" s="3"/>
      <c r="O297" t="b">
        <f>ValidatePatient(BrachyTxs[[#This Row],[Pt]])</f>
        <v>1</v>
      </c>
      <c r="P297" t="b">
        <f>ValidatePhysicists(BrachyTxs[[#This Row],[Physicist(s)]])</f>
        <v>1</v>
      </c>
      <c r="Q297" t="b">
        <f>ValidateMDs(BrachyTxs[[#This Row],[MD(s)]])</f>
        <v>1</v>
      </c>
      <c r="S297" s="3"/>
    </row>
    <row r="298" spans="1:19" x14ac:dyDescent="0.25">
      <c r="A298" t="s">
        <v>323</v>
      </c>
      <c r="B298" s="1">
        <v>42102</v>
      </c>
      <c r="C298" s="2" t="s">
        <v>28</v>
      </c>
      <c r="D298" s="3"/>
      <c r="E298" s="3"/>
      <c r="F298">
        <f>IF(ISNUMBER(SEARCH("BB",BrachyTxs[[#This Row],[Physicist(s)]])),1,0)</f>
        <v>0</v>
      </c>
      <c r="G298" s="3">
        <f>IF(ISNUMBER(SEARCH("DZ",BrachyTxs[[#This Row],[Physicist(s)]])),1,0)</f>
        <v>0</v>
      </c>
      <c r="H298" s="3">
        <f>IF(ISNUMBER(SEARCH("ZC",BrachyTxs[[#This Row],[Physicist(s)]])),1,0)</f>
        <v>0</v>
      </c>
      <c r="I298" s="3">
        <f>IF(ISNUMBER(SEARCH("DJ",BrachyTxs[[#This Row],[MD(s)]])),1,0)</f>
        <v>0</v>
      </c>
      <c r="J298" s="3">
        <f>IF(ISNUMBER(SEARCH("JS",BrachyTxs[[#This Row],[MD(s)]])),1,0)</f>
        <v>0</v>
      </c>
      <c r="K298" s="3"/>
      <c r="L298" s="3"/>
      <c r="M298" s="3"/>
      <c r="N298" s="3"/>
      <c r="O298" t="b">
        <f>ValidatePatient(BrachyTxs[[#This Row],[Pt]])</f>
        <v>1</v>
      </c>
      <c r="P298" t="b">
        <f>ValidatePhysicists(BrachyTxs[[#This Row],[Physicist(s)]])</f>
        <v>1</v>
      </c>
      <c r="Q298" t="b">
        <f>ValidateMDs(BrachyTxs[[#This Row],[MD(s)]])</f>
        <v>1</v>
      </c>
      <c r="S298" s="3"/>
    </row>
    <row r="299" spans="1:19" x14ac:dyDescent="0.25">
      <c r="A299" t="s">
        <v>323</v>
      </c>
      <c r="B299" s="1">
        <v>42124</v>
      </c>
      <c r="C299" s="2" t="s">
        <v>285</v>
      </c>
      <c r="D299" s="3"/>
      <c r="E299" s="3"/>
      <c r="F299">
        <f>IF(ISNUMBER(SEARCH("BB",BrachyTxs[[#This Row],[Physicist(s)]])),1,0)</f>
        <v>0</v>
      </c>
      <c r="G299" s="3">
        <f>IF(ISNUMBER(SEARCH("DZ",BrachyTxs[[#This Row],[Physicist(s)]])),1,0)</f>
        <v>0</v>
      </c>
      <c r="H299" s="3">
        <f>IF(ISNUMBER(SEARCH("ZC",BrachyTxs[[#This Row],[Physicist(s)]])),1,0)</f>
        <v>0</v>
      </c>
      <c r="I299" s="3">
        <f>IF(ISNUMBER(SEARCH("DJ",BrachyTxs[[#This Row],[MD(s)]])),1,0)</f>
        <v>0</v>
      </c>
      <c r="J299" s="3">
        <f>IF(ISNUMBER(SEARCH("JS",BrachyTxs[[#This Row],[MD(s)]])),1,0)</f>
        <v>0</v>
      </c>
      <c r="K299" s="3"/>
      <c r="L299" s="3"/>
      <c r="M299" s="3"/>
      <c r="N299" s="3"/>
      <c r="O299" t="b">
        <f>ValidatePatient(BrachyTxs[[#This Row],[Pt]])</f>
        <v>1</v>
      </c>
      <c r="P299" t="b">
        <f>ValidatePhysicists(BrachyTxs[[#This Row],[Physicist(s)]])</f>
        <v>1</v>
      </c>
      <c r="Q299" t="b">
        <f>ValidateMDs(BrachyTxs[[#This Row],[MD(s)]])</f>
        <v>1</v>
      </c>
      <c r="S299" s="3"/>
    </row>
    <row r="300" spans="1:19" x14ac:dyDescent="0.25">
      <c r="A300" t="s">
        <v>323</v>
      </c>
      <c r="B300" s="1">
        <v>42153</v>
      </c>
      <c r="C300" s="2" t="s">
        <v>215</v>
      </c>
      <c r="D300" s="3"/>
      <c r="E300" s="3"/>
      <c r="F300">
        <f>IF(ISNUMBER(SEARCH("BB",BrachyTxs[[#This Row],[Physicist(s)]])),1,0)</f>
        <v>0</v>
      </c>
      <c r="G300" s="3">
        <f>IF(ISNUMBER(SEARCH("DZ",BrachyTxs[[#This Row],[Physicist(s)]])),1,0)</f>
        <v>0</v>
      </c>
      <c r="H300" s="3">
        <f>IF(ISNUMBER(SEARCH("ZC",BrachyTxs[[#This Row],[Physicist(s)]])),1,0)</f>
        <v>0</v>
      </c>
      <c r="I300" s="3">
        <f>IF(ISNUMBER(SEARCH("DJ",BrachyTxs[[#This Row],[MD(s)]])),1,0)</f>
        <v>0</v>
      </c>
      <c r="J300" s="3">
        <f>IF(ISNUMBER(SEARCH("JS",BrachyTxs[[#This Row],[MD(s)]])),1,0)</f>
        <v>0</v>
      </c>
      <c r="K300" s="3"/>
      <c r="L300" s="3"/>
      <c r="M300" s="3"/>
      <c r="N300" s="3"/>
      <c r="O300" t="b">
        <f>ValidatePatient(BrachyTxs[[#This Row],[Pt]])</f>
        <v>1</v>
      </c>
      <c r="P300" t="b">
        <f>ValidatePhysicists(BrachyTxs[[#This Row],[Physicist(s)]])</f>
        <v>1</v>
      </c>
      <c r="Q300" t="b">
        <f>ValidateMDs(BrachyTxs[[#This Row],[MD(s)]])</f>
        <v>1</v>
      </c>
      <c r="S300" s="3"/>
    </row>
    <row r="301" spans="1:19" x14ac:dyDescent="0.25">
      <c r="A301" t="s">
        <v>324</v>
      </c>
      <c r="B301" s="1">
        <v>42158</v>
      </c>
      <c r="C301" s="2" t="s">
        <v>52</v>
      </c>
      <c r="D301" s="3"/>
      <c r="E301" s="3"/>
      <c r="F301">
        <f>IF(ISNUMBER(SEARCH("BB",BrachyTxs[[#This Row],[Physicist(s)]])),1,0)</f>
        <v>0</v>
      </c>
      <c r="G301" s="3">
        <f>IF(ISNUMBER(SEARCH("DZ",BrachyTxs[[#This Row],[Physicist(s)]])),1,0)</f>
        <v>0</v>
      </c>
      <c r="H301" s="3">
        <f>IF(ISNUMBER(SEARCH("ZC",BrachyTxs[[#This Row],[Physicist(s)]])),1,0)</f>
        <v>0</v>
      </c>
      <c r="I301" s="3">
        <f>IF(ISNUMBER(SEARCH("DJ",BrachyTxs[[#This Row],[MD(s)]])),1,0)</f>
        <v>0</v>
      </c>
      <c r="J301" s="3">
        <f>IF(ISNUMBER(SEARCH("JS",BrachyTxs[[#This Row],[MD(s)]])),1,0)</f>
        <v>0</v>
      </c>
      <c r="K301" s="3"/>
      <c r="L301" s="3"/>
      <c r="M301" s="3"/>
      <c r="N301" s="3"/>
      <c r="O301" t="b">
        <f>ValidatePatient(BrachyTxs[[#This Row],[Pt]])</f>
        <v>1</v>
      </c>
      <c r="P301" t="b">
        <f>ValidatePhysicists(BrachyTxs[[#This Row],[Physicist(s)]])</f>
        <v>1</v>
      </c>
      <c r="Q301" t="b">
        <f>ValidateMDs(BrachyTxs[[#This Row],[MD(s)]])</f>
        <v>1</v>
      </c>
      <c r="S301" s="3"/>
    </row>
    <row r="302" spans="1:19" x14ac:dyDescent="0.25">
      <c r="A302" t="s">
        <v>324</v>
      </c>
      <c r="B302" s="1">
        <v>42166</v>
      </c>
      <c r="C302" s="2" t="s">
        <v>84</v>
      </c>
      <c r="D302" s="3"/>
      <c r="E302" s="3"/>
      <c r="F302">
        <f>IF(ISNUMBER(SEARCH("BB",BrachyTxs[[#This Row],[Physicist(s)]])),1,0)</f>
        <v>0</v>
      </c>
      <c r="G302" s="3">
        <f>IF(ISNUMBER(SEARCH("DZ",BrachyTxs[[#This Row],[Physicist(s)]])),1,0)</f>
        <v>0</v>
      </c>
      <c r="H302" s="3">
        <f>IF(ISNUMBER(SEARCH("ZC",BrachyTxs[[#This Row],[Physicist(s)]])),1,0)</f>
        <v>0</v>
      </c>
      <c r="I302" s="3">
        <f>IF(ISNUMBER(SEARCH("DJ",BrachyTxs[[#This Row],[MD(s)]])),1,0)</f>
        <v>0</v>
      </c>
      <c r="J302" s="3">
        <f>IF(ISNUMBER(SEARCH("JS",BrachyTxs[[#This Row],[MD(s)]])),1,0)</f>
        <v>0</v>
      </c>
      <c r="K302" s="3"/>
      <c r="L302" s="3"/>
      <c r="M302" s="3"/>
      <c r="N302" s="3"/>
      <c r="O302" t="b">
        <f>ValidatePatient(BrachyTxs[[#This Row],[Pt]])</f>
        <v>1</v>
      </c>
      <c r="P302" t="b">
        <f>ValidatePhysicists(BrachyTxs[[#This Row],[Physicist(s)]])</f>
        <v>1</v>
      </c>
      <c r="Q302" t="b">
        <f>ValidateMDs(BrachyTxs[[#This Row],[MD(s)]])</f>
        <v>1</v>
      </c>
      <c r="S302" s="3"/>
    </row>
    <row r="303" spans="1:19" x14ac:dyDescent="0.25">
      <c r="A303" t="s">
        <v>325</v>
      </c>
      <c r="B303" s="1">
        <v>42166</v>
      </c>
      <c r="C303" s="2" t="s">
        <v>211</v>
      </c>
      <c r="D303" s="3"/>
      <c r="E303" s="3"/>
      <c r="F303">
        <f>IF(ISNUMBER(SEARCH("BB",BrachyTxs[[#This Row],[Physicist(s)]])),1,0)</f>
        <v>0</v>
      </c>
      <c r="G303" s="3">
        <f>IF(ISNUMBER(SEARCH("DZ",BrachyTxs[[#This Row],[Physicist(s)]])),1,0)</f>
        <v>0</v>
      </c>
      <c r="H303" s="3">
        <f>IF(ISNUMBER(SEARCH("ZC",BrachyTxs[[#This Row],[Physicist(s)]])),1,0)</f>
        <v>0</v>
      </c>
      <c r="I303" s="3">
        <f>IF(ISNUMBER(SEARCH("DJ",BrachyTxs[[#This Row],[MD(s)]])),1,0)</f>
        <v>0</v>
      </c>
      <c r="J303" s="3">
        <f>IF(ISNUMBER(SEARCH("JS",BrachyTxs[[#This Row],[MD(s)]])),1,0)</f>
        <v>0</v>
      </c>
      <c r="K303" s="3"/>
      <c r="L303" s="3"/>
      <c r="M303" s="3"/>
      <c r="N303" s="3"/>
      <c r="O303" t="b">
        <f>ValidatePatient(BrachyTxs[[#This Row],[Pt]])</f>
        <v>1</v>
      </c>
      <c r="P303" t="b">
        <f>ValidatePhysicists(BrachyTxs[[#This Row],[Physicist(s)]])</f>
        <v>1</v>
      </c>
      <c r="Q303" t="b">
        <f>ValidateMDs(BrachyTxs[[#This Row],[MD(s)]])</f>
        <v>1</v>
      </c>
      <c r="S303" s="3"/>
    </row>
    <row r="304" spans="1:19" x14ac:dyDescent="0.25">
      <c r="A304" t="s">
        <v>324</v>
      </c>
      <c r="B304" s="1">
        <v>42172</v>
      </c>
      <c r="C304" s="2" t="s">
        <v>52</v>
      </c>
      <c r="D304" s="3"/>
      <c r="E304" s="3"/>
      <c r="F304">
        <f>IF(ISNUMBER(SEARCH("BB",BrachyTxs[[#This Row],[Physicist(s)]])),1,0)</f>
        <v>0</v>
      </c>
      <c r="G304" s="3">
        <f>IF(ISNUMBER(SEARCH("DZ",BrachyTxs[[#This Row],[Physicist(s)]])),1,0)</f>
        <v>0</v>
      </c>
      <c r="H304" s="3">
        <f>IF(ISNUMBER(SEARCH("ZC",BrachyTxs[[#This Row],[Physicist(s)]])),1,0)</f>
        <v>0</v>
      </c>
      <c r="I304" s="3">
        <f>IF(ISNUMBER(SEARCH("DJ",BrachyTxs[[#This Row],[MD(s)]])),1,0)</f>
        <v>0</v>
      </c>
      <c r="J304" s="3">
        <f>IF(ISNUMBER(SEARCH("JS",BrachyTxs[[#This Row],[MD(s)]])),1,0)</f>
        <v>0</v>
      </c>
      <c r="K304" s="3"/>
      <c r="L304" s="3"/>
      <c r="M304" s="3"/>
      <c r="N304" s="3"/>
      <c r="O304" t="b">
        <f>ValidatePatient(BrachyTxs[[#This Row],[Pt]])</f>
        <v>1</v>
      </c>
      <c r="P304" t="b">
        <f>ValidatePhysicists(BrachyTxs[[#This Row],[Physicist(s)]])</f>
        <v>1</v>
      </c>
      <c r="Q304" t="b">
        <f>ValidateMDs(BrachyTxs[[#This Row],[MD(s)]])</f>
        <v>1</v>
      </c>
      <c r="S304" s="3"/>
    </row>
    <row r="305" spans="1:19" x14ac:dyDescent="0.25">
      <c r="A305" t="s">
        <v>323</v>
      </c>
      <c r="B305" s="1">
        <v>42177</v>
      </c>
      <c r="C305" s="2" t="s">
        <v>312</v>
      </c>
      <c r="D305" s="3"/>
      <c r="E305" s="3"/>
      <c r="F305">
        <f>IF(ISNUMBER(SEARCH("BB",BrachyTxs[[#This Row],[Physicist(s)]])),1,0)</f>
        <v>0</v>
      </c>
      <c r="G305" s="3">
        <f>IF(ISNUMBER(SEARCH("DZ",BrachyTxs[[#This Row],[Physicist(s)]])),1,0)</f>
        <v>0</v>
      </c>
      <c r="H305" s="3">
        <f>IF(ISNUMBER(SEARCH("ZC",BrachyTxs[[#This Row],[Physicist(s)]])),1,0)</f>
        <v>0</v>
      </c>
      <c r="I305" s="3">
        <f>IF(ISNUMBER(SEARCH("DJ",BrachyTxs[[#This Row],[MD(s)]])),1,0)</f>
        <v>0</v>
      </c>
      <c r="J305" s="3">
        <f>IF(ISNUMBER(SEARCH("JS",BrachyTxs[[#This Row],[MD(s)]])),1,0)</f>
        <v>0</v>
      </c>
      <c r="K305" s="3"/>
      <c r="L305" s="3"/>
      <c r="M305" s="3"/>
      <c r="N305" s="3"/>
      <c r="O305" t="b">
        <f>ValidatePatient(BrachyTxs[[#This Row],[Pt]])</f>
        <v>1</v>
      </c>
      <c r="P305" t="b">
        <f>ValidatePhysicists(BrachyTxs[[#This Row],[Physicist(s)]])</f>
        <v>1</v>
      </c>
      <c r="Q305" t="b">
        <f>ValidateMDs(BrachyTxs[[#This Row],[MD(s)]])</f>
        <v>1</v>
      </c>
      <c r="S305" s="3"/>
    </row>
    <row r="306" spans="1:19" x14ac:dyDescent="0.25">
      <c r="A306" t="s">
        <v>324</v>
      </c>
      <c r="B306" s="1">
        <v>42180</v>
      </c>
      <c r="C306" s="2" t="s">
        <v>84</v>
      </c>
      <c r="D306" s="3"/>
      <c r="E306" s="3"/>
      <c r="F306">
        <f>IF(ISNUMBER(SEARCH("BB",BrachyTxs[[#This Row],[Physicist(s)]])),1,0)</f>
        <v>0</v>
      </c>
      <c r="G306" s="3">
        <f>IF(ISNUMBER(SEARCH("DZ",BrachyTxs[[#This Row],[Physicist(s)]])),1,0)</f>
        <v>0</v>
      </c>
      <c r="H306" s="3">
        <f>IF(ISNUMBER(SEARCH("ZC",BrachyTxs[[#This Row],[Physicist(s)]])),1,0)</f>
        <v>0</v>
      </c>
      <c r="I306" s="3">
        <f>IF(ISNUMBER(SEARCH("DJ",BrachyTxs[[#This Row],[MD(s)]])),1,0)</f>
        <v>0</v>
      </c>
      <c r="J306" s="3">
        <f>IF(ISNUMBER(SEARCH("JS",BrachyTxs[[#This Row],[MD(s)]])),1,0)</f>
        <v>0</v>
      </c>
      <c r="K306" s="3"/>
      <c r="L306" s="3"/>
      <c r="M306" s="3"/>
      <c r="N306" s="3"/>
      <c r="O306" t="b">
        <f>ValidatePatient(BrachyTxs[[#This Row],[Pt]])</f>
        <v>1</v>
      </c>
      <c r="P306" t="b">
        <f>ValidatePhysicists(BrachyTxs[[#This Row],[Physicist(s)]])</f>
        <v>1</v>
      </c>
      <c r="Q306" t="b">
        <f>ValidateMDs(BrachyTxs[[#This Row],[MD(s)]])</f>
        <v>1</v>
      </c>
      <c r="S306" s="3"/>
    </row>
    <row r="307" spans="1:19" x14ac:dyDescent="0.25">
      <c r="A307" t="s">
        <v>323</v>
      </c>
      <c r="B307" s="1">
        <v>42191</v>
      </c>
      <c r="C307" s="2" t="s">
        <v>305</v>
      </c>
      <c r="D307" s="3"/>
      <c r="E307" s="3"/>
      <c r="F307">
        <f>IF(ISNUMBER(SEARCH("BB",BrachyTxs[[#This Row],[Physicist(s)]])),1,0)</f>
        <v>0</v>
      </c>
      <c r="G307" s="3">
        <f>IF(ISNUMBER(SEARCH("DZ",BrachyTxs[[#This Row],[Physicist(s)]])),1,0)</f>
        <v>0</v>
      </c>
      <c r="H307" s="3">
        <f>IF(ISNUMBER(SEARCH("ZC",BrachyTxs[[#This Row],[Physicist(s)]])),1,0)</f>
        <v>0</v>
      </c>
      <c r="I307" s="3">
        <f>IF(ISNUMBER(SEARCH("DJ",BrachyTxs[[#This Row],[MD(s)]])),1,0)</f>
        <v>0</v>
      </c>
      <c r="J307" s="3">
        <f>IF(ISNUMBER(SEARCH("JS",BrachyTxs[[#This Row],[MD(s)]])),1,0)</f>
        <v>0</v>
      </c>
      <c r="K307" s="3"/>
      <c r="L307" s="3"/>
      <c r="M307" s="3"/>
      <c r="N307" s="3"/>
      <c r="O307" t="b">
        <f>ValidatePatient(BrachyTxs[[#This Row],[Pt]])</f>
        <v>1</v>
      </c>
      <c r="P307" t="b">
        <f>ValidatePhysicists(BrachyTxs[[#This Row],[Physicist(s)]])</f>
        <v>1</v>
      </c>
      <c r="Q307" t="b">
        <f>ValidateMDs(BrachyTxs[[#This Row],[MD(s)]])</f>
        <v>1</v>
      </c>
      <c r="S307" s="3"/>
    </row>
    <row r="308" spans="1:19" x14ac:dyDescent="0.25">
      <c r="A308" t="s">
        <v>323</v>
      </c>
      <c r="B308" s="1">
        <v>42208</v>
      </c>
      <c r="C308" s="2" t="s">
        <v>25</v>
      </c>
      <c r="D308" s="3"/>
      <c r="E308" s="3"/>
      <c r="F308">
        <f>IF(ISNUMBER(SEARCH("BB",BrachyTxs[[#This Row],[Physicist(s)]])),1,0)</f>
        <v>0</v>
      </c>
      <c r="G308" s="3">
        <f>IF(ISNUMBER(SEARCH("DZ",BrachyTxs[[#This Row],[Physicist(s)]])),1,0)</f>
        <v>0</v>
      </c>
      <c r="H308" s="3">
        <f>IF(ISNUMBER(SEARCH("ZC",BrachyTxs[[#This Row],[Physicist(s)]])),1,0)</f>
        <v>0</v>
      </c>
      <c r="I308" s="3">
        <f>IF(ISNUMBER(SEARCH("DJ",BrachyTxs[[#This Row],[MD(s)]])),1,0)</f>
        <v>0</v>
      </c>
      <c r="J308" s="3">
        <f>IF(ISNUMBER(SEARCH("JS",BrachyTxs[[#This Row],[MD(s)]])),1,0)</f>
        <v>0</v>
      </c>
      <c r="K308" s="3"/>
      <c r="L308" s="3"/>
      <c r="M308" s="3"/>
      <c r="N308" s="3"/>
      <c r="O308" t="b">
        <f>ValidatePatient(BrachyTxs[[#This Row],[Pt]])</f>
        <v>1</v>
      </c>
      <c r="P308" t="b">
        <f>ValidatePhysicists(BrachyTxs[[#This Row],[Physicist(s)]])</f>
        <v>1</v>
      </c>
      <c r="Q308" t="b">
        <f>ValidateMDs(BrachyTxs[[#This Row],[MD(s)]])</f>
        <v>1</v>
      </c>
      <c r="S308" s="3"/>
    </row>
    <row r="309" spans="1:19" x14ac:dyDescent="0.25">
      <c r="A309" t="s">
        <v>324</v>
      </c>
      <c r="B309" s="1">
        <v>42229</v>
      </c>
      <c r="C309" s="2" t="s">
        <v>278</v>
      </c>
      <c r="D309" s="3"/>
      <c r="E309" s="3"/>
      <c r="F309">
        <f>IF(ISNUMBER(SEARCH("BB",BrachyTxs[[#This Row],[Physicist(s)]])),1,0)</f>
        <v>0</v>
      </c>
      <c r="G309" s="3">
        <f>IF(ISNUMBER(SEARCH("DZ",BrachyTxs[[#This Row],[Physicist(s)]])),1,0)</f>
        <v>0</v>
      </c>
      <c r="H309" s="3">
        <f>IF(ISNUMBER(SEARCH("ZC",BrachyTxs[[#This Row],[Physicist(s)]])),1,0)</f>
        <v>0</v>
      </c>
      <c r="I309" s="3">
        <f>IF(ISNUMBER(SEARCH("DJ",BrachyTxs[[#This Row],[MD(s)]])),1,0)</f>
        <v>0</v>
      </c>
      <c r="J309" s="3">
        <f>IF(ISNUMBER(SEARCH("JS",BrachyTxs[[#This Row],[MD(s)]])),1,0)</f>
        <v>0</v>
      </c>
      <c r="K309" s="3"/>
      <c r="L309" s="3"/>
      <c r="M309" s="3"/>
      <c r="N309" s="3"/>
      <c r="O309" t="b">
        <f>ValidatePatient(BrachyTxs[[#This Row],[Pt]])</f>
        <v>1</v>
      </c>
      <c r="P309" t="b">
        <f>ValidatePhysicists(BrachyTxs[[#This Row],[Physicist(s)]])</f>
        <v>1</v>
      </c>
      <c r="Q309" t="b">
        <f>ValidateMDs(BrachyTxs[[#This Row],[MD(s)]])</f>
        <v>1</v>
      </c>
      <c r="S309" s="3"/>
    </row>
    <row r="310" spans="1:19" x14ac:dyDescent="0.25">
      <c r="A310" t="s">
        <v>324</v>
      </c>
      <c r="B310" s="1">
        <v>42243</v>
      </c>
      <c r="C310" s="2" t="s">
        <v>278</v>
      </c>
      <c r="D310" s="3"/>
      <c r="E310" s="3"/>
      <c r="F310">
        <f>IF(ISNUMBER(SEARCH("BB",BrachyTxs[[#This Row],[Physicist(s)]])),1,0)</f>
        <v>0</v>
      </c>
      <c r="G310" s="3">
        <f>IF(ISNUMBER(SEARCH("DZ",BrachyTxs[[#This Row],[Physicist(s)]])),1,0)</f>
        <v>0</v>
      </c>
      <c r="H310" s="3">
        <f>IF(ISNUMBER(SEARCH("ZC",BrachyTxs[[#This Row],[Physicist(s)]])),1,0)</f>
        <v>0</v>
      </c>
      <c r="I310" s="3">
        <f>IF(ISNUMBER(SEARCH("DJ",BrachyTxs[[#This Row],[MD(s)]])),1,0)</f>
        <v>0</v>
      </c>
      <c r="J310" s="3">
        <f>IF(ISNUMBER(SEARCH("JS",BrachyTxs[[#This Row],[MD(s)]])),1,0)</f>
        <v>0</v>
      </c>
      <c r="K310" s="3"/>
      <c r="L310" s="3"/>
      <c r="M310" s="3"/>
      <c r="N310" s="3"/>
      <c r="O310" t="b">
        <f>ValidatePatient(BrachyTxs[[#This Row],[Pt]])</f>
        <v>1</v>
      </c>
      <c r="P310" t="b">
        <f>ValidatePhysicists(BrachyTxs[[#This Row],[Physicist(s)]])</f>
        <v>1</v>
      </c>
      <c r="Q310" t="b">
        <f>ValidateMDs(BrachyTxs[[#This Row],[MD(s)]])</f>
        <v>1</v>
      </c>
      <c r="S310" s="3"/>
    </row>
    <row r="311" spans="1:19" x14ac:dyDescent="0.25">
      <c r="A311" t="s">
        <v>324</v>
      </c>
      <c r="B311" s="1">
        <v>42296</v>
      </c>
      <c r="C311" s="2" t="s">
        <v>238</v>
      </c>
      <c r="D311" s="3"/>
      <c r="E311" s="3" t="s">
        <v>336</v>
      </c>
      <c r="F311">
        <f>IF(ISNUMBER(SEARCH("BB",BrachyTxs[[#This Row],[Physicist(s)]])),1,0)</f>
        <v>0</v>
      </c>
      <c r="G311" s="3">
        <f>IF(ISNUMBER(SEARCH("DZ",BrachyTxs[[#This Row],[Physicist(s)]])),1,0)</f>
        <v>0</v>
      </c>
      <c r="H311" s="3">
        <f>IF(ISNUMBER(SEARCH("ZC",BrachyTxs[[#This Row],[Physicist(s)]])),1,0)</f>
        <v>0</v>
      </c>
      <c r="I311" s="3">
        <f>IF(ISNUMBER(SEARCH("DJ",BrachyTxs[[#This Row],[MD(s)]])),1,0)</f>
        <v>0</v>
      </c>
      <c r="J311" s="3">
        <f>IF(ISNUMBER(SEARCH("JS",BrachyTxs[[#This Row],[MD(s)]])),1,0)</f>
        <v>1</v>
      </c>
      <c r="K311" s="3"/>
      <c r="L311" s="3"/>
      <c r="M311" s="3"/>
      <c r="N311" s="3"/>
      <c r="O311" t="b">
        <f>ValidatePatient(BrachyTxs[[#This Row],[Pt]])</f>
        <v>1</v>
      </c>
      <c r="P311" t="b">
        <f>ValidatePhysicists(BrachyTxs[[#This Row],[Physicist(s)]])</f>
        <v>1</v>
      </c>
      <c r="Q311" t="b">
        <f>ValidateMDs(BrachyTxs[[#This Row],[MD(s)]])</f>
        <v>0</v>
      </c>
      <c r="S311" s="3"/>
    </row>
    <row r="312" spans="1:19" x14ac:dyDescent="0.25">
      <c r="A312" t="s">
        <v>326</v>
      </c>
      <c r="B312" s="1">
        <v>42312</v>
      </c>
      <c r="C312" s="2" t="s">
        <v>273</v>
      </c>
      <c r="D312" s="3"/>
      <c r="E312" s="3"/>
      <c r="F312">
        <f>IF(ISNUMBER(SEARCH("BB",BrachyTxs[[#This Row],[Physicist(s)]])),1,0)</f>
        <v>0</v>
      </c>
      <c r="G312" s="3">
        <f>IF(ISNUMBER(SEARCH("DZ",BrachyTxs[[#This Row],[Physicist(s)]])),1,0)</f>
        <v>0</v>
      </c>
      <c r="H312" s="3">
        <f>IF(ISNUMBER(SEARCH("ZC",BrachyTxs[[#This Row],[Physicist(s)]])),1,0)</f>
        <v>0</v>
      </c>
      <c r="I312" s="3">
        <f>IF(ISNUMBER(SEARCH("DJ",BrachyTxs[[#This Row],[MD(s)]])),1,0)</f>
        <v>0</v>
      </c>
      <c r="J312" s="3">
        <f>IF(ISNUMBER(SEARCH("JS",BrachyTxs[[#This Row],[MD(s)]])),1,0)</f>
        <v>0</v>
      </c>
      <c r="K312" s="3"/>
      <c r="L312" s="3"/>
      <c r="M312" s="3"/>
      <c r="N312" s="3"/>
      <c r="O312" t="b">
        <f>ValidatePatient(BrachyTxs[[#This Row],[Pt]])</f>
        <v>1</v>
      </c>
      <c r="P312" t="b">
        <f>ValidatePhysicists(BrachyTxs[[#This Row],[Physicist(s)]])</f>
        <v>1</v>
      </c>
      <c r="Q312" t="b">
        <f>ValidateMDs(BrachyTxs[[#This Row],[MD(s)]])</f>
        <v>1</v>
      </c>
      <c r="S312" s="3"/>
    </row>
    <row r="313" spans="1:19" x14ac:dyDescent="0.25">
      <c r="A313" t="s">
        <v>324</v>
      </c>
      <c r="B313" s="1">
        <v>42326</v>
      </c>
      <c r="C313" s="2" t="s">
        <v>0</v>
      </c>
      <c r="D313" s="3"/>
      <c r="E313" s="3"/>
      <c r="F313">
        <f>IF(ISNUMBER(SEARCH("BB",BrachyTxs[[#This Row],[Physicist(s)]])),1,0)</f>
        <v>0</v>
      </c>
      <c r="G313" s="3">
        <f>IF(ISNUMBER(SEARCH("DZ",BrachyTxs[[#This Row],[Physicist(s)]])),1,0)</f>
        <v>0</v>
      </c>
      <c r="H313" s="3">
        <f>IF(ISNUMBER(SEARCH("ZC",BrachyTxs[[#This Row],[Physicist(s)]])),1,0)</f>
        <v>0</v>
      </c>
      <c r="I313" s="3">
        <f>IF(ISNUMBER(SEARCH("DJ",BrachyTxs[[#This Row],[MD(s)]])),1,0)</f>
        <v>0</v>
      </c>
      <c r="J313" s="3">
        <f>IF(ISNUMBER(SEARCH("JS",BrachyTxs[[#This Row],[MD(s)]])),1,0)</f>
        <v>0</v>
      </c>
      <c r="K313" s="3"/>
      <c r="L313" s="3"/>
      <c r="M313" s="3"/>
      <c r="N313" s="3"/>
      <c r="O313" t="b">
        <f>ValidatePatient(BrachyTxs[[#This Row],[Pt]])</f>
        <v>1</v>
      </c>
      <c r="P313" t="b">
        <f>ValidatePhysicists(BrachyTxs[[#This Row],[Physicist(s)]])</f>
        <v>1</v>
      </c>
      <c r="Q313" t="b">
        <f>ValidateMDs(BrachyTxs[[#This Row],[MD(s)]])</f>
        <v>1</v>
      </c>
      <c r="S313" s="3"/>
    </row>
    <row r="314" spans="1:19" x14ac:dyDescent="0.25">
      <c r="A314" t="s">
        <v>323</v>
      </c>
      <c r="B314" s="1">
        <v>42340</v>
      </c>
      <c r="C314" s="2" t="s">
        <v>198</v>
      </c>
      <c r="D314" s="3"/>
      <c r="E314" s="3"/>
      <c r="F314">
        <f>IF(ISNUMBER(SEARCH("BB",BrachyTxs[[#This Row],[Physicist(s)]])),1,0)</f>
        <v>0</v>
      </c>
      <c r="G314" s="3">
        <f>IF(ISNUMBER(SEARCH("DZ",BrachyTxs[[#This Row],[Physicist(s)]])),1,0)</f>
        <v>0</v>
      </c>
      <c r="H314" s="3">
        <f>IF(ISNUMBER(SEARCH("ZC",BrachyTxs[[#This Row],[Physicist(s)]])),1,0)</f>
        <v>0</v>
      </c>
      <c r="I314" s="3">
        <f>IF(ISNUMBER(SEARCH("DJ",BrachyTxs[[#This Row],[MD(s)]])),1,0)</f>
        <v>0</v>
      </c>
      <c r="J314" s="3">
        <f>IF(ISNUMBER(SEARCH("JS",BrachyTxs[[#This Row],[MD(s)]])),1,0)</f>
        <v>0</v>
      </c>
      <c r="K314" s="3"/>
      <c r="L314" s="3"/>
      <c r="M314" s="3"/>
      <c r="N314" s="3"/>
      <c r="O314" t="b">
        <f>ValidatePatient(BrachyTxs[[#This Row],[Pt]])</f>
        <v>1</v>
      </c>
      <c r="P314" t="b">
        <f>ValidatePhysicists(BrachyTxs[[#This Row],[Physicist(s)]])</f>
        <v>1</v>
      </c>
      <c r="Q314" t="b">
        <f>ValidateMDs(BrachyTxs[[#This Row],[MD(s)]])</f>
        <v>1</v>
      </c>
      <c r="S314" s="3"/>
    </row>
    <row r="315" spans="1:19" x14ac:dyDescent="0.25">
      <c r="A315" t="s">
        <v>326</v>
      </c>
      <c r="B315" s="1">
        <v>42340</v>
      </c>
      <c r="C315" s="2" t="s">
        <v>273</v>
      </c>
      <c r="D315" s="3"/>
      <c r="E315" s="3"/>
      <c r="F315">
        <f>IF(ISNUMBER(SEARCH("BB",BrachyTxs[[#This Row],[Physicist(s)]])),1,0)</f>
        <v>0</v>
      </c>
      <c r="G315" s="3">
        <f>IF(ISNUMBER(SEARCH("DZ",BrachyTxs[[#This Row],[Physicist(s)]])),1,0)</f>
        <v>0</v>
      </c>
      <c r="H315" s="3">
        <f>IF(ISNUMBER(SEARCH("ZC",BrachyTxs[[#This Row],[Physicist(s)]])),1,0)</f>
        <v>0</v>
      </c>
      <c r="I315" s="3">
        <f>IF(ISNUMBER(SEARCH("DJ",BrachyTxs[[#This Row],[MD(s)]])),1,0)</f>
        <v>0</v>
      </c>
      <c r="J315" s="3">
        <f>IF(ISNUMBER(SEARCH("JS",BrachyTxs[[#This Row],[MD(s)]])),1,0)</f>
        <v>0</v>
      </c>
      <c r="K315" s="3"/>
      <c r="L315" s="3"/>
      <c r="M315" s="3"/>
      <c r="N315" s="3"/>
      <c r="O315" t="b">
        <f>ValidatePatient(BrachyTxs[[#This Row],[Pt]])</f>
        <v>1</v>
      </c>
      <c r="P315" t="b">
        <f>ValidatePhysicists(BrachyTxs[[#This Row],[Physicist(s)]])</f>
        <v>1</v>
      </c>
      <c r="Q315" t="b">
        <f>ValidateMDs(BrachyTxs[[#This Row],[MD(s)]])</f>
        <v>1</v>
      </c>
      <c r="S315" s="3"/>
    </row>
    <row r="316" spans="1:19" x14ac:dyDescent="0.25">
      <c r="A316" t="s">
        <v>324</v>
      </c>
      <c r="B316" s="1">
        <v>42353</v>
      </c>
      <c r="C316" s="2" t="s">
        <v>0</v>
      </c>
      <c r="D316" s="3"/>
      <c r="E316" s="3"/>
      <c r="F316">
        <f>IF(ISNUMBER(SEARCH("BB",BrachyTxs[[#This Row],[Physicist(s)]])),1,0)</f>
        <v>0</v>
      </c>
      <c r="G316" s="3">
        <f>IF(ISNUMBER(SEARCH("DZ",BrachyTxs[[#This Row],[Physicist(s)]])),1,0)</f>
        <v>0</v>
      </c>
      <c r="H316" s="3">
        <f>IF(ISNUMBER(SEARCH("ZC",BrachyTxs[[#This Row],[Physicist(s)]])),1,0)</f>
        <v>0</v>
      </c>
      <c r="I316" s="3">
        <f>IF(ISNUMBER(SEARCH("DJ",BrachyTxs[[#This Row],[MD(s)]])),1,0)</f>
        <v>0</v>
      </c>
      <c r="J316" s="3">
        <f>IF(ISNUMBER(SEARCH("JS",BrachyTxs[[#This Row],[MD(s)]])),1,0)</f>
        <v>0</v>
      </c>
      <c r="K316" s="3"/>
      <c r="L316" s="3"/>
      <c r="M316" s="3"/>
      <c r="N316" s="3"/>
      <c r="O316" t="b">
        <f>ValidatePatient(BrachyTxs[[#This Row],[Pt]])</f>
        <v>1</v>
      </c>
      <c r="P316" t="b">
        <f>ValidatePhysicists(BrachyTxs[[#This Row],[Physicist(s)]])</f>
        <v>1</v>
      </c>
      <c r="Q316" t="b">
        <f>ValidateMDs(BrachyTxs[[#This Row],[MD(s)]])</f>
        <v>1</v>
      </c>
      <c r="S316" s="3"/>
    </row>
    <row r="317" spans="1:19" x14ac:dyDescent="0.25">
      <c r="A317" t="s">
        <v>326</v>
      </c>
      <c r="B317" s="1">
        <v>42374</v>
      </c>
      <c r="C317" s="2" t="s">
        <v>273</v>
      </c>
      <c r="D317" s="3"/>
      <c r="E317" s="3"/>
      <c r="F317">
        <f>IF(ISNUMBER(SEARCH("BB",BrachyTxs[[#This Row],[Physicist(s)]])),1,0)</f>
        <v>0</v>
      </c>
      <c r="G317" s="3">
        <f>IF(ISNUMBER(SEARCH("DZ",BrachyTxs[[#This Row],[Physicist(s)]])),1,0)</f>
        <v>0</v>
      </c>
      <c r="H317" s="3">
        <f>IF(ISNUMBER(SEARCH("ZC",BrachyTxs[[#This Row],[Physicist(s)]])),1,0)</f>
        <v>0</v>
      </c>
      <c r="I317" s="3">
        <f>IF(ISNUMBER(SEARCH("DJ",BrachyTxs[[#This Row],[MD(s)]])),1,0)</f>
        <v>0</v>
      </c>
      <c r="J317" s="3">
        <f>IF(ISNUMBER(SEARCH("JS",BrachyTxs[[#This Row],[MD(s)]])),1,0)</f>
        <v>0</v>
      </c>
      <c r="K317" s="3"/>
      <c r="L317" s="3"/>
      <c r="M317" s="3"/>
      <c r="N317" s="3"/>
      <c r="O317" t="b">
        <f>ValidatePatient(BrachyTxs[[#This Row],[Pt]])</f>
        <v>1</v>
      </c>
      <c r="P317" t="b">
        <f>ValidatePhysicists(BrachyTxs[[#This Row],[Physicist(s)]])</f>
        <v>1</v>
      </c>
      <c r="Q317" t="b">
        <f>ValidateMDs(BrachyTxs[[#This Row],[MD(s)]])</f>
        <v>1</v>
      </c>
      <c r="S317" s="3"/>
    </row>
    <row r="318" spans="1:19" x14ac:dyDescent="0.25">
      <c r="A318" t="s">
        <v>326</v>
      </c>
      <c r="B318" s="1">
        <v>42374</v>
      </c>
      <c r="C318" s="2" t="s">
        <v>276</v>
      </c>
      <c r="D318" s="3"/>
      <c r="E318" s="3"/>
      <c r="F318">
        <f>IF(ISNUMBER(SEARCH("BB",BrachyTxs[[#This Row],[Physicist(s)]])),1,0)</f>
        <v>0</v>
      </c>
      <c r="G318" s="3">
        <f>IF(ISNUMBER(SEARCH("DZ",BrachyTxs[[#This Row],[Physicist(s)]])),1,0)</f>
        <v>0</v>
      </c>
      <c r="H318" s="3">
        <f>IF(ISNUMBER(SEARCH("ZC",BrachyTxs[[#This Row],[Physicist(s)]])),1,0)</f>
        <v>0</v>
      </c>
      <c r="I318" s="3">
        <f>IF(ISNUMBER(SEARCH("DJ",BrachyTxs[[#This Row],[MD(s)]])),1,0)</f>
        <v>0</v>
      </c>
      <c r="J318" s="3">
        <f>IF(ISNUMBER(SEARCH("JS",BrachyTxs[[#This Row],[MD(s)]])),1,0)</f>
        <v>0</v>
      </c>
      <c r="K318" s="3"/>
      <c r="L318" s="3"/>
      <c r="M318" s="3"/>
      <c r="N318" s="3"/>
      <c r="O318" t="b">
        <f>ValidatePatient(BrachyTxs[[#This Row],[Pt]])</f>
        <v>1</v>
      </c>
      <c r="P318" t="b">
        <f>ValidatePhysicists(BrachyTxs[[#This Row],[Physicist(s)]])</f>
        <v>1</v>
      </c>
      <c r="Q318" t="b">
        <f>ValidateMDs(BrachyTxs[[#This Row],[MD(s)]])</f>
        <v>1</v>
      </c>
      <c r="S318" s="3"/>
    </row>
    <row r="319" spans="1:19" x14ac:dyDescent="0.25">
      <c r="A319" t="s">
        <v>324</v>
      </c>
      <c r="B319" s="1">
        <v>42387</v>
      </c>
      <c r="C319" s="2" t="s">
        <v>27</v>
      </c>
      <c r="D319" s="3"/>
      <c r="E319" s="3" t="s">
        <v>336</v>
      </c>
      <c r="F319">
        <f>IF(ISNUMBER(SEARCH("BB",BrachyTxs[[#This Row],[Physicist(s)]])),1,0)</f>
        <v>0</v>
      </c>
      <c r="G319" s="3">
        <f>IF(ISNUMBER(SEARCH("DZ",BrachyTxs[[#This Row],[Physicist(s)]])),1,0)</f>
        <v>0</v>
      </c>
      <c r="H319" s="3">
        <f>IF(ISNUMBER(SEARCH("ZC",BrachyTxs[[#This Row],[Physicist(s)]])),1,0)</f>
        <v>0</v>
      </c>
      <c r="I319" s="3">
        <f>IF(ISNUMBER(SEARCH("DJ",BrachyTxs[[#This Row],[MD(s)]])),1,0)</f>
        <v>0</v>
      </c>
      <c r="J319" s="3">
        <f>IF(ISNUMBER(SEARCH("JS",BrachyTxs[[#This Row],[MD(s)]])),1,0)</f>
        <v>1</v>
      </c>
      <c r="K319" s="3"/>
      <c r="L319" s="3"/>
      <c r="M319" s="3"/>
      <c r="N319" s="3"/>
      <c r="O319" t="b">
        <f>ValidatePatient(BrachyTxs[[#This Row],[Pt]])</f>
        <v>1</v>
      </c>
      <c r="P319" t="b">
        <f>ValidatePhysicists(BrachyTxs[[#This Row],[Physicist(s)]])</f>
        <v>1</v>
      </c>
      <c r="Q319" t="b">
        <f>ValidateMDs(BrachyTxs[[#This Row],[MD(s)]])</f>
        <v>0</v>
      </c>
      <c r="S319" s="3"/>
    </row>
    <row r="320" spans="1:19" x14ac:dyDescent="0.25">
      <c r="A320" t="s">
        <v>323</v>
      </c>
      <c r="B320" s="1">
        <v>42390</v>
      </c>
      <c r="C320" s="2" t="s">
        <v>74</v>
      </c>
      <c r="D320" s="3"/>
      <c r="E320" s="3"/>
      <c r="F320">
        <f>IF(ISNUMBER(SEARCH("BB",BrachyTxs[[#This Row],[Physicist(s)]])),1,0)</f>
        <v>0</v>
      </c>
      <c r="G320" s="3">
        <f>IF(ISNUMBER(SEARCH("DZ",BrachyTxs[[#This Row],[Physicist(s)]])),1,0)</f>
        <v>0</v>
      </c>
      <c r="H320" s="3">
        <f>IF(ISNUMBER(SEARCH("ZC",BrachyTxs[[#This Row],[Physicist(s)]])),1,0)</f>
        <v>0</v>
      </c>
      <c r="I320" s="3">
        <f>IF(ISNUMBER(SEARCH("DJ",BrachyTxs[[#This Row],[MD(s)]])),1,0)</f>
        <v>0</v>
      </c>
      <c r="J320" s="3">
        <f>IF(ISNUMBER(SEARCH("JS",BrachyTxs[[#This Row],[MD(s)]])),1,0)</f>
        <v>0</v>
      </c>
      <c r="K320" s="3"/>
      <c r="L320" s="3"/>
      <c r="M320" s="3"/>
      <c r="N320" s="3"/>
      <c r="O320" t="b">
        <f>ValidatePatient(BrachyTxs[[#This Row],[Pt]])</f>
        <v>1</v>
      </c>
      <c r="P320" t="b">
        <f>ValidatePhysicists(BrachyTxs[[#This Row],[Physicist(s)]])</f>
        <v>1</v>
      </c>
      <c r="Q320" t="b">
        <f>ValidateMDs(BrachyTxs[[#This Row],[MD(s)]])</f>
        <v>1</v>
      </c>
      <c r="S320" s="3"/>
    </row>
    <row r="321" spans="1:19" x14ac:dyDescent="0.25">
      <c r="A321" t="s">
        <v>323</v>
      </c>
      <c r="B321" s="1">
        <v>42397</v>
      </c>
      <c r="C321" s="2" t="s">
        <v>73</v>
      </c>
      <c r="D321" s="3"/>
      <c r="E321" s="3"/>
      <c r="F321">
        <f>IF(ISNUMBER(SEARCH("BB",BrachyTxs[[#This Row],[Physicist(s)]])),1,0)</f>
        <v>0</v>
      </c>
      <c r="G321" s="3">
        <f>IF(ISNUMBER(SEARCH("DZ",BrachyTxs[[#This Row],[Physicist(s)]])),1,0)</f>
        <v>0</v>
      </c>
      <c r="H321" s="3">
        <f>IF(ISNUMBER(SEARCH("ZC",BrachyTxs[[#This Row],[Physicist(s)]])),1,0)</f>
        <v>0</v>
      </c>
      <c r="I321" s="3">
        <f>IF(ISNUMBER(SEARCH("DJ",BrachyTxs[[#This Row],[MD(s)]])),1,0)</f>
        <v>0</v>
      </c>
      <c r="J321" s="3">
        <f>IF(ISNUMBER(SEARCH("JS",BrachyTxs[[#This Row],[MD(s)]])),1,0)</f>
        <v>0</v>
      </c>
      <c r="K321" s="3"/>
      <c r="L321" s="3"/>
      <c r="M321" s="3"/>
      <c r="N321" s="3"/>
      <c r="O321" t="b">
        <f>ValidatePatient(BrachyTxs[[#This Row],[Pt]])</f>
        <v>1</v>
      </c>
      <c r="P321" t="b">
        <f>ValidatePhysicists(BrachyTxs[[#This Row],[Physicist(s)]])</f>
        <v>1</v>
      </c>
      <c r="Q321" t="b">
        <f>ValidateMDs(BrachyTxs[[#This Row],[MD(s)]])</f>
        <v>1</v>
      </c>
      <c r="S321" s="3"/>
    </row>
    <row r="322" spans="1:19" x14ac:dyDescent="0.25">
      <c r="A322" t="s">
        <v>326</v>
      </c>
      <c r="B322" s="1">
        <v>42402</v>
      </c>
      <c r="C322" s="2" t="s">
        <v>273</v>
      </c>
      <c r="D322" s="3"/>
      <c r="E322" s="3"/>
      <c r="F322">
        <f>IF(ISNUMBER(SEARCH("BB",BrachyTxs[[#This Row],[Physicist(s)]])),1,0)</f>
        <v>0</v>
      </c>
      <c r="G322" s="3">
        <f>IF(ISNUMBER(SEARCH("DZ",BrachyTxs[[#This Row],[Physicist(s)]])),1,0)</f>
        <v>0</v>
      </c>
      <c r="H322" s="3">
        <f>IF(ISNUMBER(SEARCH("ZC",BrachyTxs[[#This Row],[Physicist(s)]])),1,0)</f>
        <v>0</v>
      </c>
      <c r="I322" s="3">
        <f>IF(ISNUMBER(SEARCH("DJ",BrachyTxs[[#This Row],[MD(s)]])),1,0)</f>
        <v>0</v>
      </c>
      <c r="J322" s="3">
        <f>IF(ISNUMBER(SEARCH("JS",BrachyTxs[[#This Row],[MD(s)]])),1,0)</f>
        <v>0</v>
      </c>
      <c r="K322" s="3"/>
      <c r="L322" s="3"/>
      <c r="M322" s="3"/>
      <c r="N322" s="3"/>
      <c r="O322" t="b">
        <f>ValidatePatient(BrachyTxs[[#This Row],[Pt]])</f>
        <v>1</v>
      </c>
      <c r="P322" t="b">
        <f>ValidatePhysicists(BrachyTxs[[#This Row],[Physicist(s)]])</f>
        <v>1</v>
      </c>
      <c r="Q322" t="b">
        <f>ValidateMDs(BrachyTxs[[#This Row],[MD(s)]])</f>
        <v>1</v>
      </c>
      <c r="S322" s="3"/>
    </row>
    <row r="323" spans="1:19" x14ac:dyDescent="0.25">
      <c r="A323" t="s">
        <v>326</v>
      </c>
      <c r="B323" s="1">
        <v>42402</v>
      </c>
      <c r="C323" s="2" t="s">
        <v>276</v>
      </c>
      <c r="D323" s="3"/>
      <c r="E323" s="3"/>
      <c r="F323">
        <f>IF(ISNUMBER(SEARCH("BB",BrachyTxs[[#This Row],[Physicist(s)]])),1,0)</f>
        <v>0</v>
      </c>
      <c r="G323" s="3">
        <f>IF(ISNUMBER(SEARCH("DZ",BrachyTxs[[#This Row],[Physicist(s)]])),1,0)</f>
        <v>0</v>
      </c>
      <c r="H323" s="3">
        <f>IF(ISNUMBER(SEARCH("ZC",BrachyTxs[[#This Row],[Physicist(s)]])),1,0)</f>
        <v>0</v>
      </c>
      <c r="I323" s="3">
        <f>IF(ISNUMBER(SEARCH("DJ",BrachyTxs[[#This Row],[MD(s)]])),1,0)</f>
        <v>0</v>
      </c>
      <c r="J323" s="3">
        <f>IF(ISNUMBER(SEARCH("JS",BrachyTxs[[#This Row],[MD(s)]])),1,0)</f>
        <v>0</v>
      </c>
      <c r="K323" s="3"/>
      <c r="L323" s="3"/>
      <c r="M323" s="3"/>
      <c r="N323" s="3"/>
      <c r="O323" t="b">
        <f>ValidatePatient(BrachyTxs[[#This Row],[Pt]])</f>
        <v>1</v>
      </c>
      <c r="P323" t="b">
        <f>ValidatePhysicists(BrachyTxs[[#This Row],[Physicist(s)]])</f>
        <v>1</v>
      </c>
      <c r="Q323" t="b">
        <f>ValidateMDs(BrachyTxs[[#This Row],[MD(s)]])</f>
        <v>1</v>
      </c>
      <c r="S323" s="3"/>
    </row>
    <row r="324" spans="1:19" x14ac:dyDescent="0.25">
      <c r="A324" t="s">
        <v>326</v>
      </c>
      <c r="B324" s="1">
        <v>42430</v>
      </c>
      <c r="C324" s="2" t="s">
        <v>273</v>
      </c>
      <c r="D324" s="3"/>
      <c r="E324" s="3"/>
      <c r="F324">
        <f>IF(ISNUMBER(SEARCH("BB",BrachyTxs[[#This Row],[Physicist(s)]])),1,0)</f>
        <v>0</v>
      </c>
      <c r="G324" s="3">
        <f>IF(ISNUMBER(SEARCH("DZ",BrachyTxs[[#This Row],[Physicist(s)]])),1,0)</f>
        <v>0</v>
      </c>
      <c r="H324" s="3">
        <f>IF(ISNUMBER(SEARCH("ZC",BrachyTxs[[#This Row],[Physicist(s)]])),1,0)</f>
        <v>0</v>
      </c>
      <c r="I324" s="3">
        <f>IF(ISNUMBER(SEARCH("DJ",BrachyTxs[[#This Row],[MD(s)]])),1,0)</f>
        <v>0</v>
      </c>
      <c r="J324" s="3">
        <f>IF(ISNUMBER(SEARCH("JS",BrachyTxs[[#This Row],[MD(s)]])),1,0)</f>
        <v>0</v>
      </c>
      <c r="K324" s="3"/>
      <c r="L324" s="3"/>
      <c r="M324" s="3"/>
      <c r="N324" s="3"/>
      <c r="O324" t="b">
        <f>ValidatePatient(BrachyTxs[[#This Row],[Pt]])</f>
        <v>1</v>
      </c>
      <c r="P324" t="b">
        <f>ValidatePhysicists(BrachyTxs[[#This Row],[Physicist(s)]])</f>
        <v>1</v>
      </c>
      <c r="Q324" t="b">
        <f>ValidateMDs(BrachyTxs[[#This Row],[MD(s)]])</f>
        <v>1</v>
      </c>
      <c r="S324" s="3"/>
    </row>
    <row r="325" spans="1:19" x14ac:dyDescent="0.25">
      <c r="A325" t="s">
        <v>325</v>
      </c>
      <c r="B325" s="1">
        <v>42438</v>
      </c>
      <c r="C325" s="2" t="s">
        <v>181</v>
      </c>
      <c r="D325" s="3"/>
      <c r="E325" s="3"/>
      <c r="F325">
        <f>IF(ISNUMBER(SEARCH("BB",BrachyTxs[[#This Row],[Physicist(s)]])),1,0)</f>
        <v>0</v>
      </c>
      <c r="G325" s="3">
        <f>IF(ISNUMBER(SEARCH("DZ",BrachyTxs[[#This Row],[Physicist(s)]])),1,0)</f>
        <v>0</v>
      </c>
      <c r="H325" s="3">
        <f>IF(ISNUMBER(SEARCH("ZC",BrachyTxs[[#This Row],[Physicist(s)]])),1,0)</f>
        <v>0</v>
      </c>
      <c r="I325" s="3">
        <f>IF(ISNUMBER(SEARCH("DJ",BrachyTxs[[#This Row],[MD(s)]])),1,0)</f>
        <v>0</v>
      </c>
      <c r="J325" s="3">
        <f>IF(ISNUMBER(SEARCH("JS",BrachyTxs[[#This Row],[MD(s)]])),1,0)</f>
        <v>0</v>
      </c>
      <c r="K325" s="3"/>
      <c r="L325" s="3"/>
      <c r="M325" s="3"/>
      <c r="N325" s="3"/>
      <c r="O325" t="b">
        <f>ValidatePatient(BrachyTxs[[#This Row],[Pt]])</f>
        <v>1</v>
      </c>
      <c r="P325" t="b">
        <f>ValidatePhysicists(BrachyTxs[[#This Row],[Physicist(s)]])</f>
        <v>1</v>
      </c>
      <c r="Q325" t="b">
        <f>ValidateMDs(BrachyTxs[[#This Row],[MD(s)]])</f>
        <v>1</v>
      </c>
      <c r="S325" s="3"/>
    </row>
    <row r="326" spans="1:19" x14ac:dyDescent="0.25">
      <c r="A326" t="s">
        <v>326</v>
      </c>
      <c r="B326" s="1">
        <v>42472</v>
      </c>
      <c r="C326" s="2" t="s">
        <v>276</v>
      </c>
      <c r="D326" s="3"/>
      <c r="E326" s="3"/>
      <c r="F326">
        <f>IF(ISNUMBER(SEARCH("BB",BrachyTxs[[#This Row],[Physicist(s)]])),1,0)</f>
        <v>0</v>
      </c>
      <c r="G326" s="3">
        <f>IF(ISNUMBER(SEARCH("DZ",BrachyTxs[[#This Row],[Physicist(s)]])),1,0)</f>
        <v>0</v>
      </c>
      <c r="H326" s="3">
        <f>IF(ISNUMBER(SEARCH("ZC",BrachyTxs[[#This Row],[Physicist(s)]])),1,0)</f>
        <v>0</v>
      </c>
      <c r="I326" s="3">
        <f>IF(ISNUMBER(SEARCH("DJ",BrachyTxs[[#This Row],[MD(s)]])),1,0)</f>
        <v>0</v>
      </c>
      <c r="J326" s="3">
        <f>IF(ISNUMBER(SEARCH("JS",BrachyTxs[[#This Row],[MD(s)]])),1,0)</f>
        <v>0</v>
      </c>
      <c r="K326" s="3"/>
      <c r="L326" s="3"/>
      <c r="M326" s="3"/>
      <c r="N326" s="3"/>
      <c r="O326" t="b">
        <f>ValidatePatient(BrachyTxs[[#This Row],[Pt]])</f>
        <v>1</v>
      </c>
      <c r="P326" t="b">
        <f>ValidatePhysicists(BrachyTxs[[#This Row],[Physicist(s)]])</f>
        <v>1</v>
      </c>
      <c r="Q326" t="b">
        <f>ValidateMDs(BrachyTxs[[#This Row],[MD(s)]])</f>
        <v>1</v>
      </c>
      <c r="S326" s="3"/>
    </row>
    <row r="327" spans="1:19" x14ac:dyDescent="0.25">
      <c r="A327" t="s">
        <v>323</v>
      </c>
      <c r="B327" s="1">
        <v>42475</v>
      </c>
      <c r="C327" s="2" t="s">
        <v>146</v>
      </c>
      <c r="D327" s="3"/>
      <c r="E327" s="3"/>
      <c r="F327">
        <f>IF(ISNUMBER(SEARCH("BB",BrachyTxs[[#This Row],[Physicist(s)]])),1,0)</f>
        <v>0</v>
      </c>
      <c r="G327" s="3">
        <f>IF(ISNUMBER(SEARCH("DZ",BrachyTxs[[#This Row],[Physicist(s)]])),1,0)</f>
        <v>0</v>
      </c>
      <c r="H327" s="3">
        <f>IF(ISNUMBER(SEARCH("ZC",BrachyTxs[[#This Row],[Physicist(s)]])),1,0)</f>
        <v>0</v>
      </c>
      <c r="I327" s="3">
        <f>IF(ISNUMBER(SEARCH("DJ",BrachyTxs[[#This Row],[MD(s)]])),1,0)</f>
        <v>0</v>
      </c>
      <c r="J327" s="3">
        <f>IF(ISNUMBER(SEARCH("JS",BrachyTxs[[#This Row],[MD(s)]])),1,0)</f>
        <v>0</v>
      </c>
      <c r="K327" s="3"/>
      <c r="L327" s="3"/>
      <c r="M327" s="3"/>
      <c r="N327" s="3"/>
      <c r="O327" t="b">
        <f>ValidatePatient(BrachyTxs[[#This Row],[Pt]])</f>
        <v>1</v>
      </c>
      <c r="P327" t="b">
        <f>ValidatePhysicists(BrachyTxs[[#This Row],[Physicist(s)]])</f>
        <v>1</v>
      </c>
      <c r="Q327" t="b">
        <f>ValidateMDs(BrachyTxs[[#This Row],[MD(s)]])</f>
        <v>1</v>
      </c>
      <c r="S327" s="3"/>
    </row>
    <row r="328" spans="1:19" x14ac:dyDescent="0.25">
      <c r="A328" t="s">
        <v>324</v>
      </c>
      <c r="B328" s="1">
        <v>42479</v>
      </c>
      <c r="C328" s="2" t="s">
        <v>389</v>
      </c>
      <c r="D328" s="3"/>
      <c r="E328" s="3"/>
      <c r="F328">
        <f>IF(ISNUMBER(SEARCH("BB",BrachyTxs[[#This Row],[Physicist(s)]])),1,0)</f>
        <v>0</v>
      </c>
      <c r="G328" s="3">
        <f>IF(ISNUMBER(SEARCH("DZ",BrachyTxs[[#This Row],[Physicist(s)]])),1,0)</f>
        <v>0</v>
      </c>
      <c r="H328" s="3">
        <f>IF(ISNUMBER(SEARCH("ZC",BrachyTxs[[#This Row],[Physicist(s)]])),1,0)</f>
        <v>0</v>
      </c>
      <c r="I328" s="3">
        <f>IF(ISNUMBER(SEARCH("DJ",BrachyTxs[[#This Row],[MD(s)]])),1,0)</f>
        <v>0</v>
      </c>
      <c r="J328" s="3">
        <f>IF(ISNUMBER(SEARCH("JS",BrachyTxs[[#This Row],[MD(s)]])),1,0)</f>
        <v>0</v>
      </c>
      <c r="K328" s="3"/>
      <c r="L328" s="3"/>
      <c r="M328" s="3"/>
      <c r="N328" s="3"/>
      <c r="O328" t="b">
        <f>ValidatePatient(BrachyTxs[[#This Row],[Pt]])</f>
        <v>0</v>
      </c>
      <c r="P328" t="b">
        <f>ValidatePhysicists(BrachyTxs[[#This Row],[Physicist(s)]])</f>
        <v>1</v>
      </c>
      <c r="Q328" t="b">
        <f>ValidateMDs(BrachyTxs[[#This Row],[MD(s)]])</f>
        <v>1</v>
      </c>
      <c r="S328" s="3"/>
    </row>
    <row r="329" spans="1:19" x14ac:dyDescent="0.25">
      <c r="A329" t="s">
        <v>324</v>
      </c>
      <c r="B329" s="1">
        <v>42499</v>
      </c>
      <c r="C329" s="2" t="s">
        <v>194</v>
      </c>
      <c r="D329" s="3"/>
      <c r="E329" s="3"/>
      <c r="F329">
        <f>IF(ISNUMBER(SEARCH("BB",BrachyTxs[[#This Row],[Physicist(s)]])),1,0)</f>
        <v>0</v>
      </c>
      <c r="G329" s="3">
        <f>IF(ISNUMBER(SEARCH("DZ",BrachyTxs[[#This Row],[Physicist(s)]])),1,0)</f>
        <v>0</v>
      </c>
      <c r="H329" s="3">
        <f>IF(ISNUMBER(SEARCH("ZC",BrachyTxs[[#This Row],[Physicist(s)]])),1,0)</f>
        <v>0</v>
      </c>
      <c r="I329" s="3">
        <f>IF(ISNUMBER(SEARCH("DJ",BrachyTxs[[#This Row],[MD(s)]])),1,0)</f>
        <v>0</v>
      </c>
      <c r="J329" s="3">
        <f>IF(ISNUMBER(SEARCH("JS",BrachyTxs[[#This Row],[MD(s)]])),1,0)</f>
        <v>0</v>
      </c>
      <c r="K329" s="3"/>
      <c r="L329" s="3"/>
      <c r="M329" s="3"/>
      <c r="N329" s="3"/>
      <c r="O329" t="b">
        <f>ValidatePatient(BrachyTxs[[#This Row],[Pt]])</f>
        <v>1</v>
      </c>
      <c r="P329" t="b">
        <f>ValidatePhysicists(BrachyTxs[[#This Row],[Physicist(s)]])</f>
        <v>1</v>
      </c>
      <c r="Q329" t="b">
        <f>ValidateMDs(BrachyTxs[[#This Row],[MD(s)]])</f>
        <v>1</v>
      </c>
      <c r="S329" s="3"/>
    </row>
    <row r="330" spans="1:19" x14ac:dyDescent="0.25">
      <c r="A330" t="s">
        <v>326</v>
      </c>
      <c r="B330" s="1">
        <v>42509</v>
      </c>
      <c r="C330" s="2" t="s">
        <v>276</v>
      </c>
      <c r="D330" s="3"/>
      <c r="E330" s="3"/>
      <c r="F330">
        <f>IF(ISNUMBER(SEARCH("BB",BrachyTxs[[#This Row],[Physicist(s)]])),1,0)</f>
        <v>0</v>
      </c>
      <c r="G330" s="3">
        <f>IF(ISNUMBER(SEARCH("DZ",BrachyTxs[[#This Row],[Physicist(s)]])),1,0)</f>
        <v>0</v>
      </c>
      <c r="H330" s="3">
        <f>IF(ISNUMBER(SEARCH("ZC",BrachyTxs[[#This Row],[Physicist(s)]])),1,0)</f>
        <v>0</v>
      </c>
      <c r="I330" s="3">
        <f>IF(ISNUMBER(SEARCH("DJ",BrachyTxs[[#This Row],[MD(s)]])),1,0)</f>
        <v>0</v>
      </c>
      <c r="J330" s="3">
        <f>IF(ISNUMBER(SEARCH("JS",BrachyTxs[[#This Row],[MD(s)]])),1,0)</f>
        <v>0</v>
      </c>
      <c r="K330" s="3"/>
      <c r="L330" s="3"/>
      <c r="M330" s="3"/>
      <c r="N330" s="3"/>
      <c r="O330" t="b">
        <f>ValidatePatient(BrachyTxs[[#This Row],[Pt]])</f>
        <v>1</v>
      </c>
      <c r="P330" t="b">
        <f>ValidatePhysicists(BrachyTxs[[#This Row],[Physicist(s)]])</f>
        <v>1</v>
      </c>
      <c r="Q330" t="b">
        <f>ValidateMDs(BrachyTxs[[#This Row],[MD(s)]])</f>
        <v>1</v>
      </c>
      <c r="S330" s="3"/>
    </row>
    <row r="331" spans="1:19" x14ac:dyDescent="0.25">
      <c r="A331" t="s">
        <v>324</v>
      </c>
      <c r="B331" s="1">
        <v>42516</v>
      </c>
      <c r="C331" s="2" t="s">
        <v>194</v>
      </c>
      <c r="D331" s="3"/>
      <c r="E331" s="3"/>
      <c r="F331">
        <f>IF(ISNUMBER(SEARCH("BB",BrachyTxs[[#This Row],[Physicist(s)]])),1,0)</f>
        <v>0</v>
      </c>
      <c r="G331" s="3">
        <f>IF(ISNUMBER(SEARCH("DZ",BrachyTxs[[#This Row],[Physicist(s)]])),1,0)</f>
        <v>0</v>
      </c>
      <c r="H331" s="3">
        <f>IF(ISNUMBER(SEARCH("ZC",BrachyTxs[[#This Row],[Physicist(s)]])),1,0)</f>
        <v>0</v>
      </c>
      <c r="I331" s="3">
        <f>IF(ISNUMBER(SEARCH("DJ",BrachyTxs[[#This Row],[MD(s)]])),1,0)</f>
        <v>0</v>
      </c>
      <c r="J331" s="3">
        <f>IF(ISNUMBER(SEARCH("JS",BrachyTxs[[#This Row],[MD(s)]])),1,0)</f>
        <v>0</v>
      </c>
      <c r="K331" s="3"/>
      <c r="L331" s="3"/>
      <c r="M331" s="3"/>
      <c r="N331" s="3"/>
      <c r="O331" t="b">
        <f>ValidatePatient(BrachyTxs[[#This Row],[Pt]])</f>
        <v>1</v>
      </c>
      <c r="P331" t="b">
        <f>ValidatePhysicists(BrachyTxs[[#This Row],[Physicist(s)]])</f>
        <v>1</v>
      </c>
      <c r="Q331" t="b">
        <f>ValidateMDs(BrachyTxs[[#This Row],[MD(s)]])</f>
        <v>1</v>
      </c>
      <c r="S331" s="3"/>
    </row>
    <row r="332" spans="1:19" x14ac:dyDescent="0.25">
      <c r="A332" t="s">
        <v>324</v>
      </c>
      <c r="B332" s="1">
        <v>42529</v>
      </c>
      <c r="C332" s="2" t="s">
        <v>286</v>
      </c>
      <c r="D332" s="3"/>
      <c r="E332" s="3"/>
      <c r="F332">
        <f>IF(ISNUMBER(SEARCH("BB",BrachyTxs[[#This Row],[Physicist(s)]])),1,0)</f>
        <v>0</v>
      </c>
      <c r="G332" s="3">
        <f>IF(ISNUMBER(SEARCH("DZ",BrachyTxs[[#This Row],[Physicist(s)]])),1,0)</f>
        <v>0</v>
      </c>
      <c r="H332" s="3">
        <f>IF(ISNUMBER(SEARCH("ZC",BrachyTxs[[#This Row],[Physicist(s)]])),1,0)</f>
        <v>0</v>
      </c>
      <c r="I332" s="3">
        <f>IF(ISNUMBER(SEARCH("DJ",BrachyTxs[[#This Row],[MD(s)]])),1,0)</f>
        <v>0</v>
      </c>
      <c r="J332" s="3">
        <f>IF(ISNUMBER(SEARCH("JS",BrachyTxs[[#This Row],[MD(s)]])),1,0)</f>
        <v>0</v>
      </c>
      <c r="K332" s="3"/>
      <c r="L332" s="3"/>
      <c r="M332" s="3"/>
      <c r="N332" s="3"/>
      <c r="O332" t="b">
        <f>ValidatePatient(BrachyTxs[[#This Row],[Pt]])</f>
        <v>1</v>
      </c>
      <c r="P332" t="b">
        <f>ValidatePhysicists(BrachyTxs[[#This Row],[Physicist(s)]])</f>
        <v>1</v>
      </c>
      <c r="Q332" t="b">
        <f>ValidateMDs(BrachyTxs[[#This Row],[MD(s)]])</f>
        <v>1</v>
      </c>
      <c r="S332" s="3"/>
    </row>
    <row r="333" spans="1:19" x14ac:dyDescent="0.25">
      <c r="A333" t="s">
        <v>323</v>
      </c>
      <c r="B333" s="1">
        <v>42536</v>
      </c>
      <c r="C333" s="2" t="s">
        <v>254</v>
      </c>
      <c r="D333" s="3"/>
      <c r="E333" s="3"/>
      <c r="F333">
        <f>IF(ISNUMBER(SEARCH("BB",BrachyTxs[[#This Row],[Physicist(s)]])),1,0)</f>
        <v>0</v>
      </c>
      <c r="G333" s="3">
        <f>IF(ISNUMBER(SEARCH("DZ",BrachyTxs[[#This Row],[Physicist(s)]])),1,0)</f>
        <v>0</v>
      </c>
      <c r="H333" s="3">
        <f>IF(ISNUMBER(SEARCH("ZC",BrachyTxs[[#This Row],[Physicist(s)]])),1,0)</f>
        <v>0</v>
      </c>
      <c r="I333" s="3">
        <f>IF(ISNUMBER(SEARCH("DJ",BrachyTxs[[#This Row],[MD(s)]])),1,0)</f>
        <v>0</v>
      </c>
      <c r="J333" s="3">
        <f>IF(ISNUMBER(SEARCH("JS",BrachyTxs[[#This Row],[MD(s)]])),1,0)</f>
        <v>0</v>
      </c>
      <c r="K333" s="3"/>
      <c r="L333" s="3"/>
      <c r="M333" s="3"/>
      <c r="N333" s="3"/>
      <c r="O333" t="b">
        <f>ValidatePatient(BrachyTxs[[#This Row],[Pt]])</f>
        <v>1</v>
      </c>
      <c r="P333" t="b">
        <f>ValidatePhysicists(BrachyTxs[[#This Row],[Physicist(s)]])</f>
        <v>1</v>
      </c>
      <c r="Q333" t="b">
        <f>ValidateMDs(BrachyTxs[[#This Row],[MD(s)]])</f>
        <v>1</v>
      </c>
      <c r="S333" s="3"/>
    </row>
    <row r="334" spans="1:19" x14ac:dyDescent="0.25">
      <c r="A334" t="s">
        <v>326</v>
      </c>
      <c r="B334" s="1">
        <v>42542</v>
      </c>
      <c r="C334" s="2" t="s">
        <v>276</v>
      </c>
      <c r="D334" s="3"/>
      <c r="E334" s="3"/>
      <c r="F334">
        <f>IF(ISNUMBER(SEARCH("BB",BrachyTxs[[#This Row],[Physicist(s)]])),1,0)</f>
        <v>0</v>
      </c>
      <c r="G334" s="3">
        <f>IF(ISNUMBER(SEARCH("DZ",BrachyTxs[[#This Row],[Physicist(s)]])),1,0)</f>
        <v>0</v>
      </c>
      <c r="H334" s="3">
        <f>IF(ISNUMBER(SEARCH("ZC",BrachyTxs[[#This Row],[Physicist(s)]])),1,0)</f>
        <v>0</v>
      </c>
      <c r="I334" s="3">
        <f>IF(ISNUMBER(SEARCH("DJ",BrachyTxs[[#This Row],[MD(s)]])),1,0)</f>
        <v>0</v>
      </c>
      <c r="J334" s="3">
        <f>IF(ISNUMBER(SEARCH("JS",BrachyTxs[[#This Row],[MD(s)]])),1,0)</f>
        <v>0</v>
      </c>
      <c r="K334" s="3"/>
      <c r="L334" s="3"/>
      <c r="M334" s="3"/>
      <c r="N334" s="3"/>
      <c r="O334" t="b">
        <f>ValidatePatient(BrachyTxs[[#This Row],[Pt]])</f>
        <v>1</v>
      </c>
      <c r="P334" t="b">
        <f>ValidatePhysicists(BrachyTxs[[#This Row],[Physicist(s)]])</f>
        <v>1</v>
      </c>
      <c r="Q334" t="b">
        <f>ValidateMDs(BrachyTxs[[#This Row],[MD(s)]])</f>
        <v>1</v>
      </c>
      <c r="S334" s="3"/>
    </row>
    <row r="335" spans="1:19" x14ac:dyDescent="0.25">
      <c r="A335" t="s">
        <v>324</v>
      </c>
      <c r="B335" s="1">
        <v>42543</v>
      </c>
      <c r="C335" s="2" t="s">
        <v>286</v>
      </c>
      <c r="D335" s="3"/>
      <c r="E335" s="3"/>
      <c r="F335">
        <f>IF(ISNUMBER(SEARCH("BB",BrachyTxs[[#This Row],[Physicist(s)]])),1,0)</f>
        <v>0</v>
      </c>
      <c r="G335" s="3">
        <f>IF(ISNUMBER(SEARCH("DZ",BrachyTxs[[#This Row],[Physicist(s)]])),1,0)</f>
        <v>0</v>
      </c>
      <c r="H335" s="3">
        <f>IF(ISNUMBER(SEARCH("ZC",BrachyTxs[[#This Row],[Physicist(s)]])),1,0)</f>
        <v>0</v>
      </c>
      <c r="I335" s="3">
        <f>IF(ISNUMBER(SEARCH("DJ",BrachyTxs[[#This Row],[MD(s)]])),1,0)</f>
        <v>0</v>
      </c>
      <c r="J335" s="3">
        <f>IF(ISNUMBER(SEARCH("JS",BrachyTxs[[#This Row],[MD(s)]])),1,0)</f>
        <v>0</v>
      </c>
      <c r="K335" s="3"/>
      <c r="L335" s="3"/>
      <c r="M335" s="3"/>
      <c r="N335" s="3"/>
      <c r="O335" t="b">
        <f>ValidatePatient(BrachyTxs[[#This Row],[Pt]])</f>
        <v>1</v>
      </c>
      <c r="P335" t="b">
        <f>ValidatePhysicists(BrachyTxs[[#This Row],[Physicist(s)]])</f>
        <v>1</v>
      </c>
      <c r="Q335" t="b">
        <f>ValidateMDs(BrachyTxs[[#This Row],[MD(s)]])</f>
        <v>1</v>
      </c>
      <c r="S335" s="3"/>
    </row>
    <row r="336" spans="1:19" x14ac:dyDescent="0.25">
      <c r="A336" t="s">
        <v>326</v>
      </c>
      <c r="B336" s="1">
        <v>42544</v>
      </c>
      <c r="C336" s="2" t="s">
        <v>9</v>
      </c>
      <c r="D336" s="3"/>
      <c r="E336" s="3"/>
      <c r="F336">
        <f>IF(ISNUMBER(SEARCH("BB",BrachyTxs[[#This Row],[Physicist(s)]])),1,0)</f>
        <v>0</v>
      </c>
      <c r="G336" s="3">
        <f>IF(ISNUMBER(SEARCH("DZ",BrachyTxs[[#This Row],[Physicist(s)]])),1,0)</f>
        <v>0</v>
      </c>
      <c r="H336" s="3">
        <f>IF(ISNUMBER(SEARCH("ZC",BrachyTxs[[#This Row],[Physicist(s)]])),1,0)</f>
        <v>0</v>
      </c>
      <c r="I336" s="3">
        <f>IF(ISNUMBER(SEARCH("DJ",BrachyTxs[[#This Row],[MD(s)]])),1,0)</f>
        <v>0</v>
      </c>
      <c r="J336" s="3">
        <f>IF(ISNUMBER(SEARCH("JS",BrachyTxs[[#This Row],[MD(s)]])),1,0)</f>
        <v>0</v>
      </c>
      <c r="K336" s="3"/>
      <c r="L336" s="3"/>
      <c r="M336" s="3"/>
      <c r="N336" s="3"/>
      <c r="O336" t="b">
        <f>ValidatePatient(BrachyTxs[[#This Row],[Pt]])</f>
        <v>1</v>
      </c>
      <c r="P336" t="b">
        <f>ValidatePhysicists(BrachyTxs[[#This Row],[Physicist(s)]])</f>
        <v>1</v>
      </c>
      <c r="Q336" t="b">
        <f>ValidateMDs(BrachyTxs[[#This Row],[MD(s)]])</f>
        <v>1</v>
      </c>
      <c r="S336" s="3"/>
    </row>
    <row r="337" spans="1:19" x14ac:dyDescent="0.25">
      <c r="A337" t="s">
        <v>326</v>
      </c>
      <c r="B337" s="1">
        <v>42549</v>
      </c>
      <c r="C337" s="2" t="s">
        <v>276</v>
      </c>
      <c r="D337" s="3"/>
      <c r="E337" s="3"/>
      <c r="F337">
        <f>IF(ISNUMBER(SEARCH("BB",BrachyTxs[[#This Row],[Physicist(s)]])),1,0)</f>
        <v>0</v>
      </c>
      <c r="G337" s="3">
        <f>IF(ISNUMBER(SEARCH("DZ",BrachyTxs[[#This Row],[Physicist(s)]])),1,0)</f>
        <v>0</v>
      </c>
      <c r="H337" s="3">
        <f>IF(ISNUMBER(SEARCH("ZC",BrachyTxs[[#This Row],[Physicist(s)]])),1,0)</f>
        <v>0</v>
      </c>
      <c r="I337" s="3">
        <f>IF(ISNUMBER(SEARCH("DJ",BrachyTxs[[#This Row],[MD(s)]])),1,0)</f>
        <v>0</v>
      </c>
      <c r="J337" s="3">
        <f>IF(ISNUMBER(SEARCH("JS",BrachyTxs[[#This Row],[MD(s)]])),1,0)</f>
        <v>0</v>
      </c>
      <c r="K337" s="3"/>
      <c r="L337" s="3"/>
      <c r="M337" s="3"/>
      <c r="N337" s="3"/>
      <c r="O337" t="b">
        <f>ValidatePatient(BrachyTxs[[#This Row],[Pt]])</f>
        <v>1</v>
      </c>
      <c r="P337" t="b">
        <f>ValidatePhysicists(BrachyTxs[[#This Row],[Physicist(s)]])</f>
        <v>1</v>
      </c>
      <c r="Q337" t="b">
        <f>ValidateMDs(BrachyTxs[[#This Row],[MD(s)]])</f>
        <v>1</v>
      </c>
      <c r="S337" s="3"/>
    </row>
    <row r="338" spans="1:19" x14ac:dyDescent="0.25">
      <c r="A338" t="s">
        <v>326</v>
      </c>
      <c r="B338" s="1">
        <v>42584</v>
      </c>
      <c r="C338" s="2" t="s">
        <v>276</v>
      </c>
      <c r="D338" s="3"/>
      <c r="E338" s="3"/>
      <c r="F338">
        <f>IF(ISNUMBER(SEARCH("BB",BrachyTxs[[#This Row],[Physicist(s)]])),1,0)</f>
        <v>0</v>
      </c>
      <c r="G338" s="3">
        <f>IF(ISNUMBER(SEARCH("DZ",BrachyTxs[[#This Row],[Physicist(s)]])),1,0)</f>
        <v>0</v>
      </c>
      <c r="H338" s="3">
        <f>IF(ISNUMBER(SEARCH("ZC",BrachyTxs[[#This Row],[Physicist(s)]])),1,0)</f>
        <v>0</v>
      </c>
      <c r="I338" s="3">
        <f>IF(ISNUMBER(SEARCH("DJ",BrachyTxs[[#This Row],[MD(s)]])),1,0)</f>
        <v>0</v>
      </c>
      <c r="J338" s="3">
        <f>IF(ISNUMBER(SEARCH("JS",BrachyTxs[[#This Row],[MD(s)]])),1,0)</f>
        <v>0</v>
      </c>
      <c r="K338" s="3"/>
      <c r="L338" s="3"/>
      <c r="M338" s="3"/>
      <c r="N338" s="3"/>
      <c r="O338" t="b">
        <f>ValidatePatient(BrachyTxs[[#This Row],[Pt]])</f>
        <v>1</v>
      </c>
      <c r="P338" t="b">
        <f>ValidatePhysicists(BrachyTxs[[#This Row],[Physicist(s)]])</f>
        <v>1</v>
      </c>
      <c r="Q338" t="b">
        <f>ValidateMDs(BrachyTxs[[#This Row],[MD(s)]])</f>
        <v>1</v>
      </c>
      <c r="S338" s="3"/>
    </row>
    <row r="339" spans="1:19" x14ac:dyDescent="0.25">
      <c r="A339" t="s">
        <v>326</v>
      </c>
      <c r="B339" s="1">
        <v>42587</v>
      </c>
      <c r="C339" s="2" t="s">
        <v>284</v>
      </c>
      <c r="D339" s="3"/>
      <c r="E339" s="3"/>
      <c r="F339">
        <f>IF(ISNUMBER(SEARCH("BB",BrachyTxs[[#This Row],[Physicist(s)]])),1,0)</f>
        <v>0</v>
      </c>
      <c r="G339" s="3">
        <f>IF(ISNUMBER(SEARCH("DZ",BrachyTxs[[#This Row],[Physicist(s)]])),1,0)</f>
        <v>0</v>
      </c>
      <c r="H339" s="3">
        <f>IF(ISNUMBER(SEARCH("ZC",BrachyTxs[[#This Row],[Physicist(s)]])),1,0)</f>
        <v>0</v>
      </c>
      <c r="I339" s="3">
        <f>IF(ISNUMBER(SEARCH("DJ",BrachyTxs[[#This Row],[MD(s)]])),1,0)</f>
        <v>0</v>
      </c>
      <c r="J339" s="3">
        <f>IF(ISNUMBER(SEARCH("JS",BrachyTxs[[#This Row],[MD(s)]])),1,0)</f>
        <v>0</v>
      </c>
      <c r="K339" s="3"/>
      <c r="L339" s="3"/>
      <c r="M339" s="3"/>
      <c r="N339" s="3"/>
      <c r="O339" t="b">
        <f>ValidatePatient(BrachyTxs[[#This Row],[Pt]])</f>
        <v>1</v>
      </c>
      <c r="P339" t="b">
        <f>ValidatePhysicists(BrachyTxs[[#This Row],[Physicist(s)]])</f>
        <v>1</v>
      </c>
      <c r="Q339" t="b">
        <f>ValidateMDs(BrachyTxs[[#This Row],[MD(s)]])</f>
        <v>1</v>
      </c>
      <c r="S339" s="3"/>
    </row>
    <row r="340" spans="1:19" x14ac:dyDescent="0.25">
      <c r="A340" t="s">
        <v>326</v>
      </c>
      <c r="B340" s="1">
        <v>42619</v>
      </c>
      <c r="C340" s="2" t="s">
        <v>276</v>
      </c>
      <c r="D340" s="3"/>
      <c r="E340" s="3"/>
      <c r="F340">
        <f>IF(ISNUMBER(SEARCH("BB",BrachyTxs[[#This Row],[Physicist(s)]])),1,0)</f>
        <v>0</v>
      </c>
      <c r="G340" s="3">
        <f>IF(ISNUMBER(SEARCH("DZ",BrachyTxs[[#This Row],[Physicist(s)]])),1,0)</f>
        <v>0</v>
      </c>
      <c r="H340" s="3">
        <f>IF(ISNUMBER(SEARCH("ZC",BrachyTxs[[#This Row],[Physicist(s)]])),1,0)</f>
        <v>0</v>
      </c>
      <c r="I340" s="3">
        <f>IF(ISNUMBER(SEARCH("DJ",BrachyTxs[[#This Row],[MD(s)]])),1,0)</f>
        <v>0</v>
      </c>
      <c r="J340" s="3">
        <f>IF(ISNUMBER(SEARCH("JS",BrachyTxs[[#This Row],[MD(s)]])),1,0)</f>
        <v>0</v>
      </c>
      <c r="K340" s="3"/>
      <c r="L340" s="3"/>
      <c r="M340" s="3"/>
      <c r="N340" s="3"/>
      <c r="O340" t="b">
        <f>ValidatePatient(BrachyTxs[[#This Row],[Pt]])</f>
        <v>1</v>
      </c>
      <c r="P340" t="b">
        <f>ValidatePhysicists(BrachyTxs[[#This Row],[Physicist(s)]])</f>
        <v>1</v>
      </c>
      <c r="Q340" t="b">
        <f>ValidateMDs(BrachyTxs[[#This Row],[MD(s)]])</f>
        <v>1</v>
      </c>
      <c r="S340" s="3"/>
    </row>
    <row r="341" spans="1:19" x14ac:dyDescent="0.25">
      <c r="A341" t="s">
        <v>326</v>
      </c>
      <c r="B341" s="1">
        <v>42635</v>
      </c>
      <c r="C341" s="2" t="s">
        <v>284</v>
      </c>
      <c r="D341" s="3"/>
      <c r="E341" s="3"/>
      <c r="F341">
        <f>IF(ISNUMBER(SEARCH("BB",BrachyTxs[[#This Row],[Physicist(s)]])),1,0)</f>
        <v>0</v>
      </c>
      <c r="G341" s="3">
        <f>IF(ISNUMBER(SEARCH("DZ",BrachyTxs[[#This Row],[Physicist(s)]])),1,0)</f>
        <v>0</v>
      </c>
      <c r="H341" s="3">
        <f>IF(ISNUMBER(SEARCH("ZC",BrachyTxs[[#This Row],[Physicist(s)]])),1,0)</f>
        <v>0</v>
      </c>
      <c r="I341" s="3">
        <f>IF(ISNUMBER(SEARCH("DJ",BrachyTxs[[#This Row],[MD(s)]])),1,0)</f>
        <v>0</v>
      </c>
      <c r="J341" s="3">
        <f>IF(ISNUMBER(SEARCH("JS",BrachyTxs[[#This Row],[MD(s)]])),1,0)</f>
        <v>0</v>
      </c>
      <c r="K341" s="3"/>
      <c r="L341" s="3"/>
      <c r="M341" s="3"/>
      <c r="N341" s="3"/>
      <c r="O341" t="b">
        <f>ValidatePatient(BrachyTxs[[#This Row],[Pt]])</f>
        <v>1</v>
      </c>
      <c r="P341" t="b">
        <f>ValidatePhysicists(BrachyTxs[[#This Row],[Physicist(s)]])</f>
        <v>1</v>
      </c>
      <c r="Q341" t="b">
        <f>ValidateMDs(BrachyTxs[[#This Row],[MD(s)]])</f>
        <v>1</v>
      </c>
      <c r="S341" s="3"/>
    </row>
    <row r="342" spans="1:19" x14ac:dyDescent="0.25">
      <c r="A342" t="s">
        <v>324</v>
      </c>
      <c r="B342" s="1">
        <v>42647</v>
      </c>
      <c r="C342" s="2" t="s">
        <v>8</v>
      </c>
      <c r="D342" s="3"/>
      <c r="E342" s="3"/>
      <c r="F342">
        <f>IF(ISNUMBER(SEARCH("BB",BrachyTxs[[#This Row],[Physicist(s)]])),1,0)</f>
        <v>0</v>
      </c>
      <c r="G342" s="3">
        <f>IF(ISNUMBER(SEARCH("DZ",BrachyTxs[[#This Row],[Physicist(s)]])),1,0)</f>
        <v>0</v>
      </c>
      <c r="H342" s="3">
        <f>IF(ISNUMBER(SEARCH("ZC",BrachyTxs[[#This Row],[Physicist(s)]])),1,0)</f>
        <v>0</v>
      </c>
      <c r="I342" s="3">
        <f>IF(ISNUMBER(SEARCH("DJ",BrachyTxs[[#This Row],[MD(s)]])),1,0)</f>
        <v>0</v>
      </c>
      <c r="J342" s="3">
        <f>IF(ISNUMBER(SEARCH("JS",BrachyTxs[[#This Row],[MD(s)]])),1,0)</f>
        <v>0</v>
      </c>
      <c r="K342" s="3"/>
      <c r="L342" s="3"/>
      <c r="M342" s="3"/>
      <c r="N342" s="3"/>
      <c r="O342" t="b">
        <f>ValidatePatient(BrachyTxs[[#This Row],[Pt]])</f>
        <v>1</v>
      </c>
      <c r="P342" t="b">
        <f>ValidatePhysicists(BrachyTxs[[#This Row],[Physicist(s)]])</f>
        <v>1</v>
      </c>
      <c r="Q342" t="b">
        <f>ValidateMDs(BrachyTxs[[#This Row],[MD(s)]])</f>
        <v>1</v>
      </c>
      <c r="S342" s="3"/>
    </row>
    <row r="343" spans="1:19" x14ac:dyDescent="0.25">
      <c r="A343" t="s">
        <v>324</v>
      </c>
      <c r="B343" s="1">
        <v>42660</v>
      </c>
      <c r="C343" s="2" t="s">
        <v>132</v>
      </c>
      <c r="D343" s="3"/>
      <c r="E343" s="3"/>
      <c r="F343">
        <f>IF(ISNUMBER(SEARCH("BB",BrachyTxs[[#This Row],[Physicist(s)]])),1,0)</f>
        <v>0</v>
      </c>
      <c r="G343" s="3">
        <f>IF(ISNUMBER(SEARCH("DZ",BrachyTxs[[#This Row],[Physicist(s)]])),1,0)</f>
        <v>0</v>
      </c>
      <c r="H343" s="3">
        <f>IF(ISNUMBER(SEARCH("ZC",BrachyTxs[[#This Row],[Physicist(s)]])),1,0)</f>
        <v>0</v>
      </c>
      <c r="I343" s="3">
        <f>IF(ISNUMBER(SEARCH("DJ",BrachyTxs[[#This Row],[MD(s)]])),1,0)</f>
        <v>0</v>
      </c>
      <c r="J343" s="3">
        <f>IF(ISNUMBER(SEARCH("JS",BrachyTxs[[#This Row],[MD(s)]])),1,0)</f>
        <v>0</v>
      </c>
      <c r="K343" s="3"/>
      <c r="L343" s="3"/>
      <c r="M343" s="3"/>
      <c r="N343" s="3"/>
      <c r="O343" t="b">
        <f>ValidatePatient(BrachyTxs[[#This Row],[Pt]])</f>
        <v>1</v>
      </c>
      <c r="P343" t="b">
        <f>ValidatePhysicists(BrachyTxs[[#This Row],[Physicist(s)]])</f>
        <v>1</v>
      </c>
      <c r="Q343" t="b">
        <f>ValidateMDs(BrachyTxs[[#This Row],[MD(s)]])</f>
        <v>1</v>
      </c>
      <c r="S343" s="3"/>
    </row>
    <row r="344" spans="1:19" x14ac:dyDescent="0.25">
      <c r="A344" t="s">
        <v>326</v>
      </c>
      <c r="B344" s="1">
        <v>42663</v>
      </c>
      <c r="C344" s="2" t="s">
        <v>284</v>
      </c>
      <c r="D344" s="3"/>
      <c r="E344" s="3"/>
      <c r="F344">
        <f>IF(ISNUMBER(SEARCH("BB",BrachyTxs[[#This Row],[Physicist(s)]])),1,0)</f>
        <v>0</v>
      </c>
      <c r="G344" s="3">
        <f>IF(ISNUMBER(SEARCH("DZ",BrachyTxs[[#This Row],[Physicist(s)]])),1,0)</f>
        <v>0</v>
      </c>
      <c r="H344" s="3">
        <f>IF(ISNUMBER(SEARCH("ZC",BrachyTxs[[#This Row],[Physicist(s)]])),1,0)</f>
        <v>0</v>
      </c>
      <c r="I344" s="3">
        <f>IF(ISNUMBER(SEARCH("DJ",BrachyTxs[[#This Row],[MD(s)]])),1,0)</f>
        <v>0</v>
      </c>
      <c r="J344" s="3">
        <f>IF(ISNUMBER(SEARCH("JS",BrachyTxs[[#This Row],[MD(s)]])),1,0)</f>
        <v>0</v>
      </c>
      <c r="K344" s="3"/>
      <c r="L344" s="3"/>
      <c r="M344" s="3"/>
      <c r="N344" s="3"/>
      <c r="O344" t="b">
        <f>ValidatePatient(BrachyTxs[[#This Row],[Pt]])</f>
        <v>1</v>
      </c>
      <c r="P344" t="b">
        <f>ValidatePhysicists(BrachyTxs[[#This Row],[Physicist(s)]])</f>
        <v>1</v>
      </c>
      <c r="Q344" t="b">
        <f>ValidateMDs(BrachyTxs[[#This Row],[MD(s)]])</f>
        <v>1</v>
      </c>
      <c r="S344" s="3"/>
    </row>
    <row r="345" spans="1:19" x14ac:dyDescent="0.25">
      <c r="A345" t="s">
        <v>323</v>
      </c>
      <c r="B345" s="1">
        <v>42675</v>
      </c>
      <c r="C345" s="2" t="s">
        <v>129</v>
      </c>
      <c r="D345" s="3"/>
      <c r="E345" s="3"/>
      <c r="F345">
        <f>IF(ISNUMBER(SEARCH("BB",BrachyTxs[[#This Row],[Physicist(s)]])),1,0)</f>
        <v>0</v>
      </c>
      <c r="G345" s="3">
        <f>IF(ISNUMBER(SEARCH("DZ",BrachyTxs[[#This Row],[Physicist(s)]])),1,0)</f>
        <v>0</v>
      </c>
      <c r="H345" s="3">
        <f>IF(ISNUMBER(SEARCH("ZC",BrachyTxs[[#This Row],[Physicist(s)]])),1,0)</f>
        <v>0</v>
      </c>
      <c r="I345" s="3">
        <f>IF(ISNUMBER(SEARCH("DJ",BrachyTxs[[#This Row],[MD(s)]])),1,0)</f>
        <v>0</v>
      </c>
      <c r="J345" s="3">
        <f>IF(ISNUMBER(SEARCH("JS",BrachyTxs[[#This Row],[MD(s)]])),1,0)</f>
        <v>0</v>
      </c>
      <c r="K345" s="3"/>
      <c r="L345" s="3"/>
      <c r="M345" s="3"/>
      <c r="N345" s="3"/>
      <c r="O345" t="b">
        <f>ValidatePatient(BrachyTxs[[#This Row],[Pt]])</f>
        <v>1</v>
      </c>
      <c r="P345" t="b">
        <f>ValidatePhysicists(BrachyTxs[[#This Row],[Physicist(s)]])</f>
        <v>1</v>
      </c>
      <c r="Q345" t="b">
        <f>ValidateMDs(BrachyTxs[[#This Row],[MD(s)]])</f>
        <v>1</v>
      </c>
      <c r="S345" s="3"/>
    </row>
    <row r="346" spans="1:19" x14ac:dyDescent="0.25">
      <c r="A346" t="s">
        <v>325</v>
      </c>
      <c r="B346" s="1">
        <v>42683</v>
      </c>
      <c r="C346" s="2" t="s">
        <v>216</v>
      </c>
      <c r="D346" s="3"/>
      <c r="E346" s="3"/>
      <c r="F346">
        <f>IF(ISNUMBER(SEARCH("BB",BrachyTxs[[#This Row],[Physicist(s)]])),1,0)</f>
        <v>0</v>
      </c>
      <c r="G346" s="3">
        <f>IF(ISNUMBER(SEARCH("DZ",BrachyTxs[[#This Row],[Physicist(s)]])),1,0)</f>
        <v>0</v>
      </c>
      <c r="H346" s="3">
        <f>IF(ISNUMBER(SEARCH("ZC",BrachyTxs[[#This Row],[Physicist(s)]])),1,0)</f>
        <v>0</v>
      </c>
      <c r="I346" s="3">
        <f>IF(ISNUMBER(SEARCH("DJ",BrachyTxs[[#This Row],[MD(s)]])),1,0)</f>
        <v>0</v>
      </c>
      <c r="J346" s="3">
        <f>IF(ISNUMBER(SEARCH("JS",BrachyTxs[[#This Row],[MD(s)]])),1,0)</f>
        <v>0</v>
      </c>
      <c r="K346" s="3"/>
      <c r="L346" s="3"/>
      <c r="M346" s="3"/>
      <c r="N346" s="3"/>
      <c r="O346" t="b">
        <f>ValidatePatient(BrachyTxs[[#This Row],[Pt]])</f>
        <v>1</v>
      </c>
      <c r="P346" t="b">
        <f>ValidatePhysicists(BrachyTxs[[#This Row],[Physicist(s)]])</f>
        <v>1</v>
      </c>
      <c r="Q346" t="b">
        <f>ValidateMDs(BrachyTxs[[#This Row],[MD(s)]])</f>
        <v>1</v>
      </c>
      <c r="S346" s="3"/>
    </row>
    <row r="347" spans="1:19" x14ac:dyDescent="0.25">
      <c r="A347" t="s">
        <v>326</v>
      </c>
      <c r="B347" s="1">
        <v>42690</v>
      </c>
      <c r="C347" s="2" t="s">
        <v>284</v>
      </c>
      <c r="D347" s="3"/>
      <c r="E347" s="3"/>
      <c r="F347">
        <f>IF(ISNUMBER(SEARCH("BB",BrachyTxs[[#This Row],[Physicist(s)]])),1,0)</f>
        <v>0</v>
      </c>
      <c r="G347" s="3">
        <f>IF(ISNUMBER(SEARCH("DZ",BrachyTxs[[#This Row],[Physicist(s)]])),1,0)</f>
        <v>0</v>
      </c>
      <c r="H347" s="3">
        <f>IF(ISNUMBER(SEARCH("ZC",BrachyTxs[[#This Row],[Physicist(s)]])),1,0)</f>
        <v>0</v>
      </c>
      <c r="I347" s="3">
        <f>IF(ISNUMBER(SEARCH("DJ",BrachyTxs[[#This Row],[MD(s)]])),1,0)</f>
        <v>0</v>
      </c>
      <c r="J347" s="3">
        <f>IF(ISNUMBER(SEARCH("JS",BrachyTxs[[#This Row],[MD(s)]])),1,0)</f>
        <v>0</v>
      </c>
      <c r="K347" s="3"/>
      <c r="L347" s="3"/>
      <c r="M347" s="3"/>
      <c r="N347" s="3"/>
      <c r="O347" t="b">
        <f>ValidatePatient(BrachyTxs[[#This Row],[Pt]])</f>
        <v>1</v>
      </c>
      <c r="P347" t="b">
        <f>ValidatePhysicists(BrachyTxs[[#This Row],[Physicist(s)]])</f>
        <v>1</v>
      </c>
      <c r="Q347" t="b">
        <f>ValidateMDs(BrachyTxs[[#This Row],[MD(s)]])</f>
        <v>1</v>
      </c>
      <c r="S347" s="3"/>
    </row>
    <row r="348" spans="1:19" x14ac:dyDescent="0.25">
      <c r="A348" t="s">
        <v>323</v>
      </c>
      <c r="B348" s="1">
        <v>42692</v>
      </c>
      <c r="C348" s="2" t="s">
        <v>213</v>
      </c>
      <c r="D348" s="3"/>
      <c r="E348" s="3"/>
      <c r="F348">
        <f>IF(ISNUMBER(SEARCH("BB",BrachyTxs[[#This Row],[Physicist(s)]])),1,0)</f>
        <v>0</v>
      </c>
      <c r="G348" s="3">
        <f>IF(ISNUMBER(SEARCH("DZ",BrachyTxs[[#This Row],[Physicist(s)]])),1,0)</f>
        <v>0</v>
      </c>
      <c r="H348" s="3">
        <f>IF(ISNUMBER(SEARCH("ZC",BrachyTxs[[#This Row],[Physicist(s)]])),1,0)</f>
        <v>0</v>
      </c>
      <c r="I348" s="3">
        <f>IF(ISNUMBER(SEARCH("DJ",BrachyTxs[[#This Row],[MD(s)]])),1,0)</f>
        <v>0</v>
      </c>
      <c r="J348" s="3">
        <f>IF(ISNUMBER(SEARCH("JS",BrachyTxs[[#This Row],[MD(s)]])),1,0)</f>
        <v>0</v>
      </c>
      <c r="K348" s="3"/>
      <c r="L348" s="3"/>
      <c r="M348" s="3"/>
      <c r="N348" s="3"/>
      <c r="O348" t="b">
        <f>ValidatePatient(BrachyTxs[[#This Row],[Pt]])</f>
        <v>1</v>
      </c>
      <c r="P348" t="b">
        <f>ValidatePhysicists(BrachyTxs[[#This Row],[Physicist(s)]])</f>
        <v>1</v>
      </c>
      <c r="Q348" t="b">
        <f>ValidateMDs(BrachyTxs[[#This Row],[MD(s)]])</f>
        <v>1</v>
      </c>
      <c r="S348" s="3"/>
    </row>
    <row r="349" spans="1:19" x14ac:dyDescent="0.25">
      <c r="A349" t="s">
        <v>326</v>
      </c>
      <c r="B349" s="1">
        <v>42734</v>
      </c>
      <c r="C349" s="2" t="s">
        <v>276</v>
      </c>
      <c r="D349" s="3"/>
      <c r="E349" s="3"/>
      <c r="F349">
        <f>IF(ISNUMBER(SEARCH("BB",BrachyTxs[[#This Row],[Physicist(s)]])),1,0)</f>
        <v>0</v>
      </c>
      <c r="G349" s="3">
        <f>IF(ISNUMBER(SEARCH("DZ",BrachyTxs[[#This Row],[Physicist(s)]])),1,0)</f>
        <v>0</v>
      </c>
      <c r="H349" s="3">
        <f>IF(ISNUMBER(SEARCH("ZC",BrachyTxs[[#This Row],[Physicist(s)]])),1,0)</f>
        <v>0</v>
      </c>
      <c r="I349" s="3">
        <f>IF(ISNUMBER(SEARCH("DJ",BrachyTxs[[#This Row],[MD(s)]])),1,0)</f>
        <v>0</v>
      </c>
      <c r="J349" s="3">
        <f>IF(ISNUMBER(SEARCH("JS",BrachyTxs[[#This Row],[MD(s)]])),1,0)</f>
        <v>0</v>
      </c>
      <c r="K349" s="3"/>
      <c r="L349" s="3"/>
      <c r="M349" s="3"/>
      <c r="N349" s="3"/>
      <c r="O349" t="b">
        <f>ValidatePatient(BrachyTxs[[#This Row],[Pt]])</f>
        <v>1</v>
      </c>
      <c r="P349" t="b">
        <f>ValidatePhysicists(BrachyTxs[[#This Row],[Physicist(s)]])</f>
        <v>1</v>
      </c>
      <c r="Q349" t="b">
        <f>ValidateMDs(BrachyTxs[[#This Row],[MD(s)]])</f>
        <v>1</v>
      </c>
      <c r="S349" s="3"/>
    </row>
    <row r="350" spans="1:19" x14ac:dyDescent="0.25">
      <c r="A350" t="s">
        <v>326</v>
      </c>
      <c r="B350" s="1">
        <v>42740</v>
      </c>
      <c r="C350" s="2" t="s">
        <v>284</v>
      </c>
      <c r="D350" s="3"/>
      <c r="E350" s="3"/>
      <c r="F350">
        <f>IF(ISNUMBER(SEARCH("BB",BrachyTxs[[#This Row],[Physicist(s)]])),1,0)</f>
        <v>0</v>
      </c>
      <c r="G350" s="3">
        <f>IF(ISNUMBER(SEARCH("DZ",BrachyTxs[[#This Row],[Physicist(s)]])),1,0)</f>
        <v>0</v>
      </c>
      <c r="H350" s="3">
        <f>IF(ISNUMBER(SEARCH("ZC",BrachyTxs[[#This Row],[Physicist(s)]])),1,0)</f>
        <v>0</v>
      </c>
      <c r="I350" s="3">
        <f>IF(ISNUMBER(SEARCH("DJ",BrachyTxs[[#This Row],[MD(s)]])),1,0)</f>
        <v>0</v>
      </c>
      <c r="J350" s="3">
        <f>IF(ISNUMBER(SEARCH("JS",BrachyTxs[[#This Row],[MD(s)]])),1,0)</f>
        <v>0</v>
      </c>
      <c r="K350" s="3"/>
      <c r="L350" s="3"/>
      <c r="M350" s="3"/>
      <c r="N350" s="3"/>
      <c r="O350" t="b">
        <f>ValidatePatient(BrachyTxs[[#This Row],[Pt]])</f>
        <v>1</v>
      </c>
      <c r="P350" t="b">
        <f>ValidatePhysicists(BrachyTxs[[#This Row],[Physicist(s)]])</f>
        <v>1</v>
      </c>
      <c r="Q350" t="b">
        <f>ValidateMDs(BrachyTxs[[#This Row],[MD(s)]])</f>
        <v>1</v>
      </c>
      <c r="S350" s="3"/>
    </row>
    <row r="351" spans="1:19" x14ac:dyDescent="0.25">
      <c r="A351" t="s">
        <v>326</v>
      </c>
      <c r="B351" s="1">
        <v>42769</v>
      </c>
      <c r="C351" s="2" t="s">
        <v>284</v>
      </c>
      <c r="D351" s="3"/>
      <c r="E351" s="3"/>
      <c r="F351">
        <f>IF(ISNUMBER(SEARCH("BB",BrachyTxs[[#This Row],[Physicist(s)]])),1,0)</f>
        <v>0</v>
      </c>
      <c r="G351" s="3">
        <f>IF(ISNUMBER(SEARCH("DZ",BrachyTxs[[#This Row],[Physicist(s)]])),1,0)</f>
        <v>0</v>
      </c>
      <c r="H351" s="3">
        <f>IF(ISNUMBER(SEARCH("ZC",BrachyTxs[[#This Row],[Physicist(s)]])),1,0)</f>
        <v>0</v>
      </c>
      <c r="I351" s="3">
        <f>IF(ISNUMBER(SEARCH("DJ",BrachyTxs[[#This Row],[MD(s)]])),1,0)</f>
        <v>0</v>
      </c>
      <c r="J351" s="3">
        <f>IF(ISNUMBER(SEARCH("JS",BrachyTxs[[#This Row],[MD(s)]])),1,0)</f>
        <v>0</v>
      </c>
      <c r="K351" s="3"/>
      <c r="L351" s="3"/>
      <c r="M351" s="3"/>
      <c r="N351" s="3"/>
      <c r="O351" t="b">
        <f>ValidatePatient(BrachyTxs[[#This Row],[Pt]])</f>
        <v>1</v>
      </c>
      <c r="P351" t="b">
        <f>ValidatePhysicists(BrachyTxs[[#This Row],[Physicist(s)]])</f>
        <v>1</v>
      </c>
      <c r="Q351" t="b">
        <f>ValidateMDs(BrachyTxs[[#This Row],[MD(s)]])</f>
        <v>1</v>
      </c>
      <c r="S351" s="3"/>
    </row>
    <row r="352" spans="1:19" x14ac:dyDescent="0.25">
      <c r="A352" t="s">
        <v>326</v>
      </c>
      <c r="B352" s="1">
        <v>42775</v>
      </c>
      <c r="C352" s="2" t="s">
        <v>276</v>
      </c>
      <c r="D352" s="3"/>
      <c r="E352" s="3"/>
      <c r="F352">
        <f>IF(ISNUMBER(SEARCH("BB",BrachyTxs[[#This Row],[Physicist(s)]])),1,0)</f>
        <v>0</v>
      </c>
      <c r="G352" s="3">
        <f>IF(ISNUMBER(SEARCH("DZ",BrachyTxs[[#This Row],[Physicist(s)]])),1,0)</f>
        <v>0</v>
      </c>
      <c r="H352" s="3">
        <f>IF(ISNUMBER(SEARCH("ZC",BrachyTxs[[#This Row],[Physicist(s)]])),1,0)</f>
        <v>0</v>
      </c>
      <c r="I352" s="3">
        <f>IF(ISNUMBER(SEARCH("DJ",BrachyTxs[[#This Row],[MD(s)]])),1,0)</f>
        <v>0</v>
      </c>
      <c r="J352" s="3">
        <f>IF(ISNUMBER(SEARCH("JS",BrachyTxs[[#This Row],[MD(s)]])),1,0)</f>
        <v>0</v>
      </c>
      <c r="K352" s="3"/>
      <c r="L352" s="3"/>
      <c r="M352" s="3"/>
      <c r="N352" s="3"/>
      <c r="O352" t="b">
        <f>ValidatePatient(BrachyTxs[[#This Row],[Pt]])</f>
        <v>1</v>
      </c>
      <c r="P352" t="b">
        <f>ValidatePhysicists(BrachyTxs[[#This Row],[Physicist(s)]])</f>
        <v>1</v>
      </c>
      <c r="Q352" t="b">
        <f>ValidateMDs(BrachyTxs[[#This Row],[MD(s)]])</f>
        <v>1</v>
      </c>
      <c r="S352" s="3"/>
    </row>
    <row r="353" spans="1:19" x14ac:dyDescent="0.25">
      <c r="A353" t="s">
        <v>323</v>
      </c>
      <c r="B353" s="1">
        <v>42802</v>
      </c>
      <c r="C353" s="2" t="s">
        <v>267</v>
      </c>
      <c r="D353" s="3"/>
      <c r="E353" s="3"/>
      <c r="F353">
        <f>IF(ISNUMBER(SEARCH("BB",BrachyTxs[[#This Row],[Physicist(s)]])),1,0)</f>
        <v>0</v>
      </c>
      <c r="G353" s="3">
        <f>IF(ISNUMBER(SEARCH("DZ",BrachyTxs[[#This Row],[Physicist(s)]])),1,0)</f>
        <v>0</v>
      </c>
      <c r="H353" s="3">
        <f>IF(ISNUMBER(SEARCH("ZC",BrachyTxs[[#This Row],[Physicist(s)]])),1,0)</f>
        <v>0</v>
      </c>
      <c r="I353" s="3">
        <f>IF(ISNUMBER(SEARCH("DJ",BrachyTxs[[#This Row],[MD(s)]])),1,0)</f>
        <v>0</v>
      </c>
      <c r="J353" s="3">
        <f>IF(ISNUMBER(SEARCH("JS",BrachyTxs[[#This Row],[MD(s)]])),1,0)</f>
        <v>0</v>
      </c>
      <c r="K353" s="3"/>
      <c r="L353" s="3"/>
      <c r="M353" s="3"/>
      <c r="N353" s="3"/>
      <c r="O353" t="b">
        <f>ValidatePatient(BrachyTxs[[#This Row],[Pt]])</f>
        <v>1</v>
      </c>
      <c r="P353" t="b">
        <f>ValidatePhysicists(BrachyTxs[[#This Row],[Physicist(s)]])</f>
        <v>1</v>
      </c>
      <c r="Q353" t="b">
        <f>ValidateMDs(BrachyTxs[[#This Row],[MD(s)]])</f>
        <v>1</v>
      </c>
      <c r="S353" s="3"/>
    </row>
    <row r="354" spans="1:19" x14ac:dyDescent="0.25">
      <c r="A354" t="s">
        <v>326</v>
      </c>
      <c r="B354" s="1">
        <v>42803</v>
      </c>
      <c r="C354" s="2" t="s">
        <v>276</v>
      </c>
      <c r="D354" s="3"/>
      <c r="E354" s="3"/>
      <c r="F354">
        <f>IF(ISNUMBER(SEARCH("BB",BrachyTxs[[#This Row],[Physicist(s)]])),1,0)</f>
        <v>0</v>
      </c>
      <c r="G354" s="3">
        <f>IF(ISNUMBER(SEARCH("DZ",BrachyTxs[[#This Row],[Physicist(s)]])),1,0)</f>
        <v>0</v>
      </c>
      <c r="H354" s="3">
        <f>IF(ISNUMBER(SEARCH("ZC",BrachyTxs[[#This Row],[Physicist(s)]])),1,0)</f>
        <v>0</v>
      </c>
      <c r="I354" s="3">
        <f>IF(ISNUMBER(SEARCH("DJ",BrachyTxs[[#This Row],[MD(s)]])),1,0)</f>
        <v>0</v>
      </c>
      <c r="J354" s="3">
        <f>IF(ISNUMBER(SEARCH("JS",BrachyTxs[[#This Row],[MD(s)]])),1,0)</f>
        <v>0</v>
      </c>
      <c r="K354" s="3"/>
      <c r="L354" s="3"/>
      <c r="M354" s="3"/>
      <c r="N354" s="3"/>
      <c r="O354" t="b">
        <f>ValidatePatient(BrachyTxs[[#This Row],[Pt]])</f>
        <v>1</v>
      </c>
      <c r="P354" t="b">
        <f>ValidatePhysicists(BrachyTxs[[#This Row],[Physicist(s)]])</f>
        <v>1</v>
      </c>
      <c r="Q354" t="b">
        <f>ValidateMDs(BrachyTxs[[#This Row],[MD(s)]])</f>
        <v>1</v>
      </c>
      <c r="S354" s="3"/>
    </row>
    <row r="355" spans="1:19" x14ac:dyDescent="0.25">
      <c r="A355" t="s">
        <v>325</v>
      </c>
      <c r="B355" s="1">
        <v>42809</v>
      </c>
      <c r="C355" s="2" t="s">
        <v>309</v>
      </c>
      <c r="D355" s="3"/>
      <c r="E355" s="3"/>
      <c r="F355">
        <f>IF(ISNUMBER(SEARCH("BB",BrachyTxs[[#This Row],[Physicist(s)]])),1,0)</f>
        <v>0</v>
      </c>
      <c r="G355" s="3">
        <f>IF(ISNUMBER(SEARCH("DZ",BrachyTxs[[#This Row],[Physicist(s)]])),1,0)</f>
        <v>0</v>
      </c>
      <c r="H355" s="3">
        <f>IF(ISNUMBER(SEARCH("ZC",BrachyTxs[[#This Row],[Physicist(s)]])),1,0)</f>
        <v>0</v>
      </c>
      <c r="I355" s="3">
        <f>IF(ISNUMBER(SEARCH("DJ",BrachyTxs[[#This Row],[MD(s)]])),1,0)</f>
        <v>0</v>
      </c>
      <c r="J355" s="3">
        <f>IF(ISNUMBER(SEARCH("JS",BrachyTxs[[#This Row],[MD(s)]])),1,0)</f>
        <v>0</v>
      </c>
      <c r="K355" s="3"/>
      <c r="L355" s="3"/>
      <c r="M355" s="3"/>
      <c r="N355" s="3"/>
      <c r="O355" t="b">
        <f>ValidatePatient(BrachyTxs[[#This Row],[Pt]])</f>
        <v>1</v>
      </c>
      <c r="P355" t="b">
        <f>ValidatePhysicists(BrachyTxs[[#This Row],[Physicist(s)]])</f>
        <v>1</v>
      </c>
      <c r="Q355" t="b">
        <f>ValidateMDs(BrachyTxs[[#This Row],[MD(s)]])</f>
        <v>1</v>
      </c>
      <c r="S355" s="3"/>
    </row>
    <row r="356" spans="1:19" x14ac:dyDescent="0.25">
      <c r="A356" t="s">
        <v>325</v>
      </c>
      <c r="B356" s="1">
        <v>42836</v>
      </c>
      <c r="C356" s="2" t="s">
        <v>50</v>
      </c>
      <c r="D356" s="3"/>
      <c r="E356" s="3"/>
      <c r="F356">
        <f>IF(ISNUMBER(SEARCH("BB",BrachyTxs[[#This Row],[Physicist(s)]])),1,0)</f>
        <v>0</v>
      </c>
      <c r="G356" s="3">
        <f>IF(ISNUMBER(SEARCH("DZ",BrachyTxs[[#This Row],[Physicist(s)]])),1,0)</f>
        <v>0</v>
      </c>
      <c r="H356" s="3">
        <f>IF(ISNUMBER(SEARCH("ZC",BrachyTxs[[#This Row],[Physicist(s)]])),1,0)</f>
        <v>0</v>
      </c>
      <c r="I356" s="3">
        <f>IF(ISNUMBER(SEARCH("DJ",BrachyTxs[[#This Row],[MD(s)]])),1,0)</f>
        <v>0</v>
      </c>
      <c r="J356" s="3">
        <f>IF(ISNUMBER(SEARCH("JS",BrachyTxs[[#This Row],[MD(s)]])),1,0)</f>
        <v>0</v>
      </c>
      <c r="K356" s="3"/>
      <c r="L356" s="3"/>
      <c r="M356" s="3"/>
      <c r="N356" s="3"/>
      <c r="O356" t="b">
        <f>ValidatePatient(BrachyTxs[[#This Row],[Pt]])</f>
        <v>1</v>
      </c>
      <c r="P356" t="b">
        <f>ValidatePhysicists(BrachyTxs[[#This Row],[Physicist(s)]])</f>
        <v>1</v>
      </c>
      <c r="Q356" t="b">
        <f>ValidateMDs(BrachyTxs[[#This Row],[MD(s)]])</f>
        <v>1</v>
      </c>
      <c r="S356" s="3"/>
    </row>
    <row r="357" spans="1:19" x14ac:dyDescent="0.25">
      <c r="A357" t="s">
        <v>326</v>
      </c>
      <c r="B357" s="1">
        <v>42838</v>
      </c>
      <c r="C357" s="2" t="s">
        <v>276</v>
      </c>
      <c r="D357" s="3"/>
      <c r="E357" s="3"/>
      <c r="F357">
        <f>IF(ISNUMBER(SEARCH("BB",BrachyTxs[[#This Row],[Physicist(s)]])),1,0)</f>
        <v>0</v>
      </c>
      <c r="G357" s="3">
        <f>IF(ISNUMBER(SEARCH("DZ",BrachyTxs[[#This Row],[Physicist(s)]])),1,0)</f>
        <v>0</v>
      </c>
      <c r="H357" s="3">
        <f>IF(ISNUMBER(SEARCH("ZC",BrachyTxs[[#This Row],[Physicist(s)]])),1,0)</f>
        <v>0</v>
      </c>
      <c r="I357" s="3">
        <f>IF(ISNUMBER(SEARCH("DJ",BrachyTxs[[#This Row],[MD(s)]])),1,0)</f>
        <v>0</v>
      </c>
      <c r="J357" s="3">
        <f>IF(ISNUMBER(SEARCH("JS",BrachyTxs[[#This Row],[MD(s)]])),1,0)</f>
        <v>0</v>
      </c>
      <c r="K357" s="3"/>
      <c r="L357" s="3"/>
      <c r="M357" s="3"/>
      <c r="N357" s="3"/>
      <c r="O357" t="b">
        <f>ValidatePatient(BrachyTxs[[#This Row],[Pt]])</f>
        <v>1</v>
      </c>
      <c r="P357" t="b">
        <f>ValidatePhysicists(BrachyTxs[[#This Row],[Physicist(s)]])</f>
        <v>1</v>
      </c>
      <c r="Q357" t="b">
        <f>ValidateMDs(BrachyTxs[[#This Row],[MD(s)]])</f>
        <v>1</v>
      </c>
      <c r="S357" s="3"/>
    </row>
    <row r="358" spans="1:19" x14ac:dyDescent="0.25">
      <c r="A358" t="s">
        <v>326</v>
      </c>
      <c r="B358" s="1">
        <v>42853</v>
      </c>
      <c r="C358" s="2" t="s">
        <v>60</v>
      </c>
      <c r="D358" s="3"/>
      <c r="E358" s="3"/>
      <c r="F358">
        <f>IF(ISNUMBER(SEARCH("BB",BrachyTxs[[#This Row],[Physicist(s)]])),1,0)</f>
        <v>0</v>
      </c>
      <c r="G358" s="3">
        <f>IF(ISNUMBER(SEARCH("DZ",BrachyTxs[[#This Row],[Physicist(s)]])),1,0)</f>
        <v>0</v>
      </c>
      <c r="H358" s="3">
        <f>IF(ISNUMBER(SEARCH("ZC",BrachyTxs[[#This Row],[Physicist(s)]])),1,0)</f>
        <v>0</v>
      </c>
      <c r="I358" s="3">
        <f>IF(ISNUMBER(SEARCH("DJ",BrachyTxs[[#This Row],[MD(s)]])),1,0)</f>
        <v>0</v>
      </c>
      <c r="J358" s="3">
        <f>IF(ISNUMBER(SEARCH("JS",BrachyTxs[[#This Row],[MD(s)]])),1,0)</f>
        <v>0</v>
      </c>
      <c r="K358" s="3"/>
      <c r="L358" s="3"/>
      <c r="M358" s="3"/>
      <c r="N358" s="3"/>
      <c r="O358" t="b">
        <f>ValidatePatient(BrachyTxs[[#This Row],[Pt]])</f>
        <v>1</v>
      </c>
      <c r="P358" t="b">
        <f>ValidatePhysicists(BrachyTxs[[#This Row],[Physicist(s)]])</f>
        <v>1</v>
      </c>
      <c r="Q358" t="b">
        <f>ValidateMDs(BrachyTxs[[#This Row],[MD(s)]])</f>
        <v>1</v>
      </c>
      <c r="S358" s="3"/>
    </row>
    <row r="359" spans="1:19" x14ac:dyDescent="0.25">
      <c r="A359" t="s">
        <v>323</v>
      </c>
      <c r="B359" s="1">
        <v>42857</v>
      </c>
      <c r="C359" s="2" t="s">
        <v>65</v>
      </c>
      <c r="D359" s="3"/>
      <c r="E359" s="3"/>
      <c r="F359">
        <f>IF(ISNUMBER(SEARCH("BB",BrachyTxs[[#This Row],[Physicist(s)]])),1,0)</f>
        <v>0</v>
      </c>
      <c r="G359" s="3">
        <f>IF(ISNUMBER(SEARCH("DZ",BrachyTxs[[#This Row],[Physicist(s)]])),1,0)</f>
        <v>0</v>
      </c>
      <c r="H359" s="3">
        <f>IF(ISNUMBER(SEARCH("ZC",BrachyTxs[[#This Row],[Physicist(s)]])),1,0)</f>
        <v>0</v>
      </c>
      <c r="I359" s="3">
        <f>IF(ISNUMBER(SEARCH("DJ",BrachyTxs[[#This Row],[MD(s)]])),1,0)</f>
        <v>0</v>
      </c>
      <c r="J359" s="3">
        <f>IF(ISNUMBER(SEARCH("JS",BrachyTxs[[#This Row],[MD(s)]])),1,0)</f>
        <v>0</v>
      </c>
      <c r="K359" s="3"/>
      <c r="L359" s="3"/>
      <c r="M359" s="3"/>
      <c r="N359" s="3"/>
      <c r="O359" t="b">
        <f>ValidatePatient(BrachyTxs[[#This Row],[Pt]])</f>
        <v>1</v>
      </c>
      <c r="P359" t="b">
        <f>ValidatePhysicists(BrachyTxs[[#This Row],[Physicist(s)]])</f>
        <v>1</v>
      </c>
      <c r="Q359" t="b">
        <f>ValidateMDs(BrachyTxs[[#This Row],[MD(s)]])</f>
        <v>1</v>
      </c>
      <c r="S359" s="3"/>
    </row>
    <row r="360" spans="1:19" x14ac:dyDescent="0.25">
      <c r="A360" t="s">
        <v>326</v>
      </c>
      <c r="B360" s="1">
        <v>42871</v>
      </c>
      <c r="C360" s="2" t="s">
        <v>276</v>
      </c>
      <c r="D360" s="3"/>
      <c r="E360" s="3"/>
      <c r="F360">
        <f>IF(ISNUMBER(SEARCH("BB",BrachyTxs[[#This Row],[Physicist(s)]])),1,0)</f>
        <v>0</v>
      </c>
      <c r="G360" s="3">
        <f>IF(ISNUMBER(SEARCH("DZ",BrachyTxs[[#This Row],[Physicist(s)]])),1,0)</f>
        <v>0</v>
      </c>
      <c r="H360" s="3">
        <f>IF(ISNUMBER(SEARCH("ZC",BrachyTxs[[#This Row],[Physicist(s)]])),1,0)</f>
        <v>0</v>
      </c>
      <c r="I360" s="3">
        <f>IF(ISNUMBER(SEARCH("DJ",BrachyTxs[[#This Row],[MD(s)]])),1,0)</f>
        <v>0</v>
      </c>
      <c r="J360" s="3">
        <f>IF(ISNUMBER(SEARCH("JS",BrachyTxs[[#This Row],[MD(s)]])),1,0)</f>
        <v>0</v>
      </c>
      <c r="K360" s="3"/>
      <c r="L360" s="3"/>
      <c r="M360" s="3"/>
      <c r="N360" s="3"/>
      <c r="O360" t="b">
        <f>ValidatePatient(BrachyTxs[[#This Row],[Pt]])</f>
        <v>1</v>
      </c>
      <c r="P360" t="b">
        <f>ValidatePhysicists(BrachyTxs[[#This Row],[Physicist(s)]])</f>
        <v>1</v>
      </c>
      <c r="Q360" t="b">
        <f>ValidateMDs(BrachyTxs[[#This Row],[MD(s)]])</f>
        <v>1</v>
      </c>
      <c r="S360" s="3"/>
    </row>
    <row r="361" spans="1:19" x14ac:dyDescent="0.25">
      <c r="A361" t="s">
        <v>326</v>
      </c>
      <c r="B361" s="1">
        <v>42880</v>
      </c>
      <c r="C361" s="2" t="s">
        <v>98</v>
      </c>
      <c r="D361" s="3"/>
      <c r="E361" s="3"/>
      <c r="F361">
        <f>IF(ISNUMBER(SEARCH("BB",BrachyTxs[[#This Row],[Physicist(s)]])),1,0)</f>
        <v>0</v>
      </c>
      <c r="G361" s="3">
        <f>IF(ISNUMBER(SEARCH("DZ",BrachyTxs[[#This Row],[Physicist(s)]])),1,0)</f>
        <v>0</v>
      </c>
      <c r="H361" s="3">
        <f>IF(ISNUMBER(SEARCH("ZC",BrachyTxs[[#This Row],[Physicist(s)]])),1,0)</f>
        <v>0</v>
      </c>
      <c r="I361" s="3">
        <f>IF(ISNUMBER(SEARCH("DJ",BrachyTxs[[#This Row],[MD(s)]])),1,0)</f>
        <v>0</v>
      </c>
      <c r="J361" s="3">
        <f>IF(ISNUMBER(SEARCH("JS",BrachyTxs[[#This Row],[MD(s)]])),1,0)</f>
        <v>0</v>
      </c>
      <c r="K361" s="3"/>
      <c r="L361" s="3"/>
      <c r="M361" s="3"/>
      <c r="N361" s="3"/>
      <c r="O361" t="b">
        <f>ValidatePatient(BrachyTxs[[#This Row],[Pt]])</f>
        <v>1</v>
      </c>
      <c r="P361" t="b">
        <f>ValidatePhysicists(BrachyTxs[[#This Row],[Physicist(s)]])</f>
        <v>1</v>
      </c>
      <c r="Q361" t="b">
        <f>ValidateMDs(BrachyTxs[[#This Row],[MD(s)]])</f>
        <v>1</v>
      </c>
      <c r="S361" s="3"/>
    </row>
    <row r="362" spans="1:19" x14ac:dyDescent="0.25">
      <c r="A362" t="s">
        <v>323</v>
      </c>
      <c r="B362" s="1">
        <v>42880</v>
      </c>
      <c r="C362" s="2" t="s">
        <v>389</v>
      </c>
      <c r="D362" s="3"/>
      <c r="E362" s="3"/>
      <c r="F362">
        <f>IF(ISNUMBER(SEARCH("BB",BrachyTxs[[#This Row],[Physicist(s)]])),1,0)</f>
        <v>0</v>
      </c>
      <c r="G362" s="3">
        <f>IF(ISNUMBER(SEARCH("DZ",BrachyTxs[[#This Row],[Physicist(s)]])),1,0)</f>
        <v>0</v>
      </c>
      <c r="H362" s="3">
        <f>IF(ISNUMBER(SEARCH("ZC",BrachyTxs[[#This Row],[Physicist(s)]])),1,0)</f>
        <v>0</v>
      </c>
      <c r="I362" s="3">
        <f>IF(ISNUMBER(SEARCH("DJ",BrachyTxs[[#This Row],[MD(s)]])),1,0)</f>
        <v>0</v>
      </c>
      <c r="J362" s="3">
        <f>IF(ISNUMBER(SEARCH("JS",BrachyTxs[[#This Row],[MD(s)]])),1,0)</f>
        <v>0</v>
      </c>
      <c r="K362" s="3"/>
      <c r="L362" s="3"/>
      <c r="M362" s="3"/>
      <c r="N362" s="3"/>
      <c r="O362" t="b">
        <f>ValidatePatient(BrachyTxs[[#This Row],[Pt]])</f>
        <v>0</v>
      </c>
      <c r="P362" t="b">
        <f>ValidatePhysicists(BrachyTxs[[#This Row],[Physicist(s)]])</f>
        <v>1</v>
      </c>
      <c r="Q362" t="b">
        <f>ValidateMDs(BrachyTxs[[#This Row],[MD(s)]])</f>
        <v>1</v>
      </c>
      <c r="S362" s="3"/>
    </row>
    <row r="363" spans="1:19" x14ac:dyDescent="0.25">
      <c r="A363" t="s">
        <v>326</v>
      </c>
      <c r="B363" s="1">
        <v>42881</v>
      </c>
      <c r="C363" s="2" t="s">
        <v>60</v>
      </c>
      <c r="D363" s="3"/>
      <c r="E363" s="3"/>
      <c r="F363">
        <f>IF(ISNUMBER(SEARCH("BB",BrachyTxs[[#This Row],[Physicist(s)]])),1,0)</f>
        <v>0</v>
      </c>
      <c r="G363" s="3">
        <f>IF(ISNUMBER(SEARCH("DZ",BrachyTxs[[#This Row],[Physicist(s)]])),1,0)</f>
        <v>0</v>
      </c>
      <c r="H363" s="3">
        <f>IF(ISNUMBER(SEARCH("ZC",BrachyTxs[[#This Row],[Physicist(s)]])),1,0)</f>
        <v>0</v>
      </c>
      <c r="I363" s="3">
        <f>IF(ISNUMBER(SEARCH("DJ",BrachyTxs[[#This Row],[MD(s)]])),1,0)</f>
        <v>0</v>
      </c>
      <c r="J363" s="3">
        <f>IF(ISNUMBER(SEARCH("JS",BrachyTxs[[#This Row],[MD(s)]])),1,0)</f>
        <v>0</v>
      </c>
      <c r="K363" s="3"/>
      <c r="L363" s="3"/>
      <c r="M363" s="3"/>
      <c r="N363" s="3"/>
      <c r="O363" t="b">
        <f>ValidatePatient(BrachyTxs[[#This Row],[Pt]])</f>
        <v>1</v>
      </c>
      <c r="P363" t="b">
        <f>ValidatePhysicists(BrachyTxs[[#This Row],[Physicist(s)]])</f>
        <v>1</v>
      </c>
      <c r="Q363" t="b">
        <f>ValidateMDs(BrachyTxs[[#This Row],[MD(s)]])</f>
        <v>1</v>
      </c>
      <c r="S363" s="3"/>
    </row>
    <row r="364" spans="1:19" x14ac:dyDescent="0.25">
      <c r="A364" t="s">
        <v>326</v>
      </c>
      <c r="B364" s="1">
        <v>42899</v>
      </c>
      <c r="C364" s="2" t="s">
        <v>270</v>
      </c>
      <c r="D364" s="3"/>
      <c r="E364" s="3"/>
      <c r="F364">
        <f>IF(ISNUMBER(SEARCH("BB",BrachyTxs[[#This Row],[Physicist(s)]])),1,0)</f>
        <v>0</v>
      </c>
      <c r="G364" s="3">
        <f>IF(ISNUMBER(SEARCH("DZ",BrachyTxs[[#This Row],[Physicist(s)]])),1,0)</f>
        <v>0</v>
      </c>
      <c r="H364" s="3">
        <f>IF(ISNUMBER(SEARCH("ZC",BrachyTxs[[#This Row],[Physicist(s)]])),1,0)</f>
        <v>0</v>
      </c>
      <c r="I364" s="3">
        <f>IF(ISNUMBER(SEARCH("DJ",BrachyTxs[[#This Row],[MD(s)]])),1,0)</f>
        <v>0</v>
      </c>
      <c r="J364" s="3">
        <f>IF(ISNUMBER(SEARCH("JS",BrachyTxs[[#This Row],[MD(s)]])),1,0)</f>
        <v>0</v>
      </c>
      <c r="K364" s="3"/>
      <c r="L364" s="3"/>
      <c r="M364" s="3"/>
      <c r="N364" s="3"/>
      <c r="O364" t="b">
        <f>ValidatePatient(BrachyTxs[[#This Row],[Pt]])</f>
        <v>1</v>
      </c>
      <c r="P364" t="b">
        <f>ValidatePhysicists(BrachyTxs[[#This Row],[Physicist(s)]])</f>
        <v>1</v>
      </c>
      <c r="Q364" t="b">
        <f>ValidateMDs(BrachyTxs[[#This Row],[MD(s)]])</f>
        <v>1</v>
      </c>
      <c r="S364" s="3"/>
    </row>
    <row r="365" spans="1:19" x14ac:dyDescent="0.25">
      <c r="A365" t="s">
        <v>323</v>
      </c>
      <c r="B365" s="1">
        <v>42902</v>
      </c>
      <c r="C365" s="2" t="s">
        <v>135</v>
      </c>
      <c r="D365" s="3"/>
      <c r="E365" s="3"/>
      <c r="F365">
        <f>IF(ISNUMBER(SEARCH("BB",BrachyTxs[[#This Row],[Physicist(s)]])),1,0)</f>
        <v>0</v>
      </c>
      <c r="G365" s="3">
        <f>IF(ISNUMBER(SEARCH("DZ",BrachyTxs[[#This Row],[Physicist(s)]])),1,0)</f>
        <v>0</v>
      </c>
      <c r="H365" s="3">
        <f>IF(ISNUMBER(SEARCH("ZC",BrachyTxs[[#This Row],[Physicist(s)]])),1,0)</f>
        <v>0</v>
      </c>
      <c r="I365" s="3">
        <f>IF(ISNUMBER(SEARCH("DJ",BrachyTxs[[#This Row],[MD(s)]])),1,0)</f>
        <v>0</v>
      </c>
      <c r="J365" s="3">
        <f>IF(ISNUMBER(SEARCH("JS",BrachyTxs[[#This Row],[MD(s)]])),1,0)</f>
        <v>0</v>
      </c>
      <c r="K365" s="3"/>
      <c r="L365" s="3"/>
      <c r="M365" s="3"/>
      <c r="N365" s="3"/>
      <c r="O365" t="b">
        <f>ValidatePatient(BrachyTxs[[#This Row],[Pt]])</f>
        <v>1</v>
      </c>
      <c r="P365" t="b">
        <f>ValidatePhysicists(BrachyTxs[[#This Row],[Physicist(s)]])</f>
        <v>1</v>
      </c>
      <c r="Q365" t="b">
        <f>ValidateMDs(BrachyTxs[[#This Row],[MD(s)]])</f>
        <v>1</v>
      </c>
      <c r="S365" s="3"/>
    </row>
    <row r="366" spans="1:19" x14ac:dyDescent="0.25">
      <c r="A366" t="s">
        <v>326</v>
      </c>
      <c r="B366" s="1">
        <v>42909</v>
      </c>
      <c r="C366" s="2" t="s">
        <v>60</v>
      </c>
      <c r="D366" s="3"/>
      <c r="E366" s="3"/>
      <c r="F366">
        <f>IF(ISNUMBER(SEARCH("BB",BrachyTxs[[#This Row],[Physicist(s)]])),1,0)</f>
        <v>0</v>
      </c>
      <c r="G366" s="3">
        <f>IF(ISNUMBER(SEARCH("DZ",BrachyTxs[[#This Row],[Physicist(s)]])),1,0)</f>
        <v>0</v>
      </c>
      <c r="H366" s="3">
        <f>IF(ISNUMBER(SEARCH("ZC",BrachyTxs[[#This Row],[Physicist(s)]])),1,0)</f>
        <v>0</v>
      </c>
      <c r="I366" s="3">
        <f>IF(ISNUMBER(SEARCH("DJ",BrachyTxs[[#This Row],[MD(s)]])),1,0)</f>
        <v>0</v>
      </c>
      <c r="J366" s="3">
        <f>IF(ISNUMBER(SEARCH("JS",BrachyTxs[[#This Row],[MD(s)]])),1,0)</f>
        <v>0</v>
      </c>
      <c r="K366" s="3"/>
      <c r="L366" s="3"/>
      <c r="M366" s="3"/>
      <c r="N366" s="3"/>
      <c r="O366" t="b">
        <f>ValidatePatient(BrachyTxs[[#This Row],[Pt]])</f>
        <v>1</v>
      </c>
      <c r="P366" t="b">
        <f>ValidatePhysicists(BrachyTxs[[#This Row],[Physicist(s)]])</f>
        <v>1</v>
      </c>
      <c r="Q366" t="b">
        <f>ValidateMDs(BrachyTxs[[#This Row],[MD(s)]])</f>
        <v>1</v>
      </c>
      <c r="S366" s="3"/>
    </row>
    <row r="367" spans="1:19" x14ac:dyDescent="0.25">
      <c r="A367" t="s">
        <v>324</v>
      </c>
      <c r="B367" s="1">
        <v>42912</v>
      </c>
      <c r="C367" s="2" t="s">
        <v>153</v>
      </c>
      <c r="D367" s="3"/>
      <c r="E367" s="3"/>
      <c r="F367">
        <f>IF(ISNUMBER(SEARCH("BB",BrachyTxs[[#This Row],[Physicist(s)]])),1,0)</f>
        <v>0</v>
      </c>
      <c r="G367" s="3">
        <f>IF(ISNUMBER(SEARCH("DZ",BrachyTxs[[#This Row],[Physicist(s)]])),1,0)</f>
        <v>0</v>
      </c>
      <c r="H367" s="3">
        <f>IF(ISNUMBER(SEARCH("ZC",BrachyTxs[[#This Row],[Physicist(s)]])),1,0)</f>
        <v>0</v>
      </c>
      <c r="I367" s="3">
        <f>IF(ISNUMBER(SEARCH("DJ",BrachyTxs[[#This Row],[MD(s)]])),1,0)</f>
        <v>0</v>
      </c>
      <c r="J367" s="3">
        <f>IF(ISNUMBER(SEARCH("JS",BrachyTxs[[#This Row],[MD(s)]])),1,0)</f>
        <v>0</v>
      </c>
      <c r="K367" s="3"/>
      <c r="L367" s="3"/>
      <c r="M367" s="3"/>
      <c r="N367" s="3"/>
      <c r="O367" t="b">
        <f>ValidatePatient(BrachyTxs[[#This Row],[Pt]])</f>
        <v>1</v>
      </c>
      <c r="P367" t="b">
        <f>ValidatePhysicists(BrachyTxs[[#This Row],[Physicist(s)]])</f>
        <v>1</v>
      </c>
      <c r="Q367" t="b">
        <f>ValidateMDs(BrachyTxs[[#This Row],[MD(s)]])</f>
        <v>1</v>
      </c>
      <c r="S367" s="3"/>
    </row>
    <row r="368" spans="1:19" x14ac:dyDescent="0.25">
      <c r="A368" t="s">
        <v>323</v>
      </c>
      <c r="B368" s="1">
        <v>42914</v>
      </c>
      <c r="C368" s="2" t="s">
        <v>199</v>
      </c>
      <c r="D368" s="3"/>
      <c r="E368" s="3"/>
      <c r="F368">
        <f>IF(ISNUMBER(SEARCH("BB",BrachyTxs[[#This Row],[Physicist(s)]])),1,0)</f>
        <v>0</v>
      </c>
      <c r="G368" s="3">
        <f>IF(ISNUMBER(SEARCH("DZ",BrachyTxs[[#This Row],[Physicist(s)]])),1,0)</f>
        <v>0</v>
      </c>
      <c r="H368" s="3">
        <f>IF(ISNUMBER(SEARCH("ZC",BrachyTxs[[#This Row],[Physicist(s)]])),1,0)</f>
        <v>0</v>
      </c>
      <c r="I368" s="3">
        <f>IF(ISNUMBER(SEARCH("DJ",BrachyTxs[[#This Row],[MD(s)]])),1,0)</f>
        <v>0</v>
      </c>
      <c r="J368" s="3">
        <f>IF(ISNUMBER(SEARCH("JS",BrachyTxs[[#This Row],[MD(s)]])),1,0)</f>
        <v>0</v>
      </c>
      <c r="K368" s="3"/>
      <c r="L368" s="3"/>
      <c r="M368" s="3"/>
      <c r="N368" s="3"/>
      <c r="O368" t="b">
        <f>ValidatePatient(BrachyTxs[[#This Row],[Pt]])</f>
        <v>1</v>
      </c>
      <c r="P368" t="b">
        <f>ValidatePhysicists(BrachyTxs[[#This Row],[Physicist(s)]])</f>
        <v>1</v>
      </c>
      <c r="Q368" t="b">
        <f>ValidateMDs(BrachyTxs[[#This Row],[MD(s)]])</f>
        <v>1</v>
      </c>
      <c r="S368" s="3"/>
    </row>
    <row r="369" spans="1:19" x14ac:dyDescent="0.25">
      <c r="A369" t="s">
        <v>326</v>
      </c>
      <c r="B369" s="1">
        <v>42915</v>
      </c>
      <c r="C369" s="2" t="s">
        <v>98</v>
      </c>
      <c r="D369" s="3"/>
      <c r="E369" s="3"/>
      <c r="F369">
        <f>IF(ISNUMBER(SEARCH("BB",BrachyTxs[[#This Row],[Physicist(s)]])),1,0)</f>
        <v>0</v>
      </c>
      <c r="G369" s="3">
        <f>IF(ISNUMBER(SEARCH("DZ",BrachyTxs[[#This Row],[Physicist(s)]])),1,0)</f>
        <v>0</v>
      </c>
      <c r="H369" s="3">
        <f>IF(ISNUMBER(SEARCH("ZC",BrachyTxs[[#This Row],[Physicist(s)]])),1,0)</f>
        <v>0</v>
      </c>
      <c r="I369" s="3">
        <f>IF(ISNUMBER(SEARCH("DJ",BrachyTxs[[#This Row],[MD(s)]])),1,0)</f>
        <v>0</v>
      </c>
      <c r="J369" s="3">
        <f>IF(ISNUMBER(SEARCH("JS",BrachyTxs[[#This Row],[MD(s)]])),1,0)</f>
        <v>0</v>
      </c>
      <c r="K369" s="3"/>
      <c r="L369" s="3"/>
      <c r="M369" s="3"/>
      <c r="N369" s="3"/>
      <c r="O369" t="b">
        <f>ValidatePatient(BrachyTxs[[#This Row],[Pt]])</f>
        <v>1</v>
      </c>
      <c r="P369" t="b">
        <f>ValidatePhysicists(BrachyTxs[[#This Row],[Physicist(s)]])</f>
        <v>1</v>
      </c>
      <c r="Q369" t="b">
        <f>ValidateMDs(BrachyTxs[[#This Row],[MD(s)]])</f>
        <v>1</v>
      </c>
      <c r="S369" s="3"/>
    </row>
    <row r="370" spans="1:19" x14ac:dyDescent="0.25">
      <c r="A370" t="s">
        <v>326</v>
      </c>
      <c r="B370" s="1">
        <v>42928</v>
      </c>
      <c r="C370" s="2" t="s">
        <v>270</v>
      </c>
      <c r="D370" s="3"/>
      <c r="E370" s="3"/>
      <c r="F370">
        <f>IF(ISNUMBER(SEARCH("BB",BrachyTxs[[#This Row],[Physicist(s)]])),1,0)</f>
        <v>0</v>
      </c>
      <c r="G370" s="3">
        <f>IF(ISNUMBER(SEARCH("DZ",BrachyTxs[[#This Row],[Physicist(s)]])),1,0)</f>
        <v>0</v>
      </c>
      <c r="H370" s="3">
        <f>IF(ISNUMBER(SEARCH("ZC",BrachyTxs[[#This Row],[Physicist(s)]])),1,0)</f>
        <v>0</v>
      </c>
      <c r="I370" s="3">
        <f>IF(ISNUMBER(SEARCH("DJ",BrachyTxs[[#This Row],[MD(s)]])),1,0)</f>
        <v>0</v>
      </c>
      <c r="J370" s="3">
        <f>IF(ISNUMBER(SEARCH("JS",BrachyTxs[[#This Row],[MD(s)]])),1,0)</f>
        <v>0</v>
      </c>
      <c r="K370" s="3"/>
      <c r="L370" s="3"/>
      <c r="M370" s="3"/>
      <c r="N370" s="3"/>
      <c r="O370" t="b">
        <f>ValidatePatient(BrachyTxs[[#This Row],[Pt]])</f>
        <v>1</v>
      </c>
      <c r="P370" t="b">
        <f>ValidatePhysicists(BrachyTxs[[#This Row],[Physicist(s)]])</f>
        <v>1</v>
      </c>
      <c r="Q370" t="b">
        <f>ValidateMDs(BrachyTxs[[#This Row],[MD(s)]])</f>
        <v>1</v>
      </c>
      <c r="S370" s="3"/>
    </row>
    <row r="371" spans="1:19" x14ac:dyDescent="0.25">
      <c r="A371" t="s">
        <v>326</v>
      </c>
      <c r="B371" s="1">
        <v>42937</v>
      </c>
      <c r="C371" s="2" t="s">
        <v>60</v>
      </c>
      <c r="D371" s="3"/>
      <c r="E371" s="3"/>
      <c r="F371">
        <f>IF(ISNUMBER(SEARCH("BB",BrachyTxs[[#This Row],[Physicist(s)]])),1,0)</f>
        <v>0</v>
      </c>
      <c r="G371" s="3">
        <f>IF(ISNUMBER(SEARCH("DZ",BrachyTxs[[#This Row],[Physicist(s)]])),1,0)</f>
        <v>0</v>
      </c>
      <c r="H371" s="3">
        <f>IF(ISNUMBER(SEARCH("ZC",BrachyTxs[[#This Row],[Physicist(s)]])),1,0)</f>
        <v>0</v>
      </c>
      <c r="I371" s="3">
        <f>IF(ISNUMBER(SEARCH("DJ",BrachyTxs[[#This Row],[MD(s)]])),1,0)</f>
        <v>0</v>
      </c>
      <c r="J371" s="3">
        <f>IF(ISNUMBER(SEARCH("JS",BrachyTxs[[#This Row],[MD(s)]])),1,0)</f>
        <v>0</v>
      </c>
      <c r="K371" s="3"/>
      <c r="L371" s="3"/>
      <c r="M371" s="3"/>
      <c r="N371" s="3"/>
      <c r="O371" t="b">
        <f>ValidatePatient(BrachyTxs[[#This Row],[Pt]])</f>
        <v>1</v>
      </c>
      <c r="P371" t="b">
        <f>ValidatePhysicists(BrachyTxs[[#This Row],[Physicist(s)]])</f>
        <v>1</v>
      </c>
      <c r="Q371" t="b">
        <f>ValidateMDs(BrachyTxs[[#This Row],[MD(s)]])</f>
        <v>1</v>
      </c>
      <c r="S371" s="3"/>
    </row>
    <row r="372" spans="1:19" x14ac:dyDescent="0.25">
      <c r="A372" t="s">
        <v>326</v>
      </c>
      <c r="B372" s="1">
        <v>42941</v>
      </c>
      <c r="C372" s="2" t="s">
        <v>150</v>
      </c>
      <c r="D372" s="3"/>
      <c r="E372" s="3"/>
      <c r="F372">
        <f>IF(ISNUMBER(SEARCH("BB",BrachyTxs[[#This Row],[Physicist(s)]])),1,0)</f>
        <v>0</v>
      </c>
      <c r="G372" s="3">
        <f>IF(ISNUMBER(SEARCH("DZ",BrachyTxs[[#This Row],[Physicist(s)]])),1,0)</f>
        <v>0</v>
      </c>
      <c r="H372" s="3">
        <f>IF(ISNUMBER(SEARCH("ZC",BrachyTxs[[#This Row],[Physicist(s)]])),1,0)</f>
        <v>0</v>
      </c>
      <c r="I372" s="3">
        <f>IF(ISNUMBER(SEARCH("DJ",BrachyTxs[[#This Row],[MD(s)]])),1,0)</f>
        <v>0</v>
      </c>
      <c r="J372" s="3">
        <f>IF(ISNUMBER(SEARCH("JS",BrachyTxs[[#This Row],[MD(s)]])),1,0)</f>
        <v>0</v>
      </c>
      <c r="K372" s="3"/>
      <c r="L372" s="3"/>
      <c r="M372" s="3"/>
      <c r="N372" s="3"/>
      <c r="O372" t="b">
        <f>ValidatePatient(BrachyTxs[[#This Row],[Pt]])</f>
        <v>1</v>
      </c>
      <c r="P372" t="b">
        <f>ValidatePhysicists(BrachyTxs[[#This Row],[Physicist(s)]])</f>
        <v>1</v>
      </c>
      <c r="Q372" t="b">
        <f>ValidateMDs(BrachyTxs[[#This Row],[MD(s)]])</f>
        <v>1</v>
      </c>
      <c r="S372" s="3"/>
    </row>
    <row r="373" spans="1:19" x14ac:dyDescent="0.25">
      <c r="A373" t="s">
        <v>326</v>
      </c>
      <c r="B373" s="1">
        <v>42943</v>
      </c>
      <c r="C373" s="2" t="s">
        <v>98</v>
      </c>
      <c r="D373" s="3"/>
      <c r="E373" s="3"/>
      <c r="F373">
        <f>IF(ISNUMBER(SEARCH("BB",BrachyTxs[[#This Row],[Physicist(s)]])),1,0)</f>
        <v>0</v>
      </c>
      <c r="G373" s="3">
        <f>IF(ISNUMBER(SEARCH("DZ",BrachyTxs[[#This Row],[Physicist(s)]])),1,0)</f>
        <v>0</v>
      </c>
      <c r="H373" s="3">
        <f>IF(ISNUMBER(SEARCH("ZC",BrachyTxs[[#This Row],[Physicist(s)]])),1,0)</f>
        <v>0</v>
      </c>
      <c r="I373" s="3">
        <f>IF(ISNUMBER(SEARCH("DJ",BrachyTxs[[#This Row],[MD(s)]])),1,0)</f>
        <v>0</v>
      </c>
      <c r="J373" s="3">
        <f>IF(ISNUMBER(SEARCH("JS",BrachyTxs[[#This Row],[MD(s)]])),1,0)</f>
        <v>0</v>
      </c>
      <c r="K373" s="3"/>
      <c r="L373" s="3"/>
      <c r="M373" s="3"/>
      <c r="N373" s="3"/>
      <c r="O373" t="b">
        <f>ValidatePatient(BrachyTxs[[#This Row],[Pt]])</f>
        <v>1</v>
      </c>
      <c r="P373" t="b">
        <f>ValidatePhysicists(BrachyTxs[[#This Row],[Physicist(s)]])</f>
        <v>1</v>
      </c>
      <c r="Q373" t="b">
        <f>ValidateMDs(BrachyTxs[[#This Row],[MD(s)]])</f>
        <v>1</v>
      </c>
      <c r="S373" s="3"/>
    </row>
    <row r="374" spans="1:19" x14ac:dyDescent="0.25">
      <c r="A374" t="s">
        <v>326</v>
      </c>
      <c r="B374" s="1">
        <v>42956</v>
      </c>
      <c r="C374" s="2" t="s">
        <v>270</v>
      </c>
      <c r="D374" s="3"/>
      <c r="E374" s="3"/>
      <c r="F374">
        <f>IF(ISNUMBER(SEARCH("BB",BrachyTxs[[#This Row],[Physicist(s)]])),1,0)</f>
        <v>0</v>
      </c>
      <c r="G374" s="3">
        <f>IF(ISNUMBER(SEARCH("DZ",BrachyTxs[[#This Row],[Physicist(s)]])),1,0)</f>
        <v>0</v>
      </c>
      <c r="H374" s="3">
        <f>IF(ISNUMBER(SEARCH("ZC",BrachyTxs[[#This Row],[Physicist(s)]])),1,0)</f>
        <v>0</v>
      </c>
      <c r="I374" s="3">
        <f>IF(ISNUMBER(SEARCH("DJ",BrachyTxs[[#This Row],[MD(s)]])),1,0)</f>
        <v>0</v>
      </c>
      <c r="J374" s="3">
        <f>IF(ISNUMBER(SEARCH("JS",BrachyTxs[[#This Row],[MD(s)]])),1,0)</f>
        <v>0</v>
      </c>
      <c r="K374" s="3"/>
      <c r="L374" s="3"/>
      <c r="M374" s="3"/>
      <c r="N374" s="3"/>
      <c r="O374" t="b">
        <f>ValidatePatient(BrachyTxs[[#This Row],[Pt]])</f>
        <v>1</v>
      </c>
      <c r="P374" t="b">
        <f>ValidatePhysicists(BrachyTxs[[#This Row],[Physicist(s)]])</f>
        <v>1</v>
      </c>
      <c r="Q374" t="b">
        <f>ValidateMDs(BrachyTxs[[#This Row],[MD(s)]])</f>
        <v>1</v>
      </c>
      <c r="S374" s="3"/>
    </row>
    <row r="375" spans="1:19" x14ac:dyDescent="0.25">
      <c r="A375" t="s">
        <v>323</v>
      </c>
      <c r="B375" s="1">
        <v>42957</v>
      </c>
      <c r="C375" s="2" t="s">
        <v>174</v>
      </c>
      <c r="D375" s="3"/>
      <c r="E375" s="3"/>
      <c r="F375">
        <f>IF(ISNUMBER(SEARCH("BB",BrachyTxs[[#This Row],[Physicist(s)]])),1,0)</f>
        <v>0</v>
      </c>
      <c r="G375" s="3">
        <f>IF(ISNUMBER(SEARCH("DZ",BrachyTxs[[#This Row],[Physicist(s)]])),1,0)</f>
        <v>0</v>
      </c>
      <c r="H375" s="3">
        <f>IF(ISNUMBER(SEARCH("ZC",BrachyTxs[[#This Row],[Physicist(s)]])),1,0)</f>
        <v>0</v>
      </c>
      <c r="I375" s="3">
        <f>IF(ISNUMBER(SEARCH("DJ",BrachyTxs[[#This Row],[MD(s)]])),1,0)</f>
        <v>0</v>
      </c>
      <c r="J375" s="3">
        <f>IF(ISNUMBER(SEARCH("JS",BrachyTxs[[#This Row],[MD(s)]])),1,0)</f>
        <v>0</v>
      </c>
      <c r="K375" s="3"/>
      <c r="L375" s="3"/>
      <c r="M375" s="3"/>
      <c r="N375" s="3"/>
      <c r="O375" t="b">
        <f>ValidatePatient(BrachyTxs[[#This Row],[Pt]])</f>
        <v>1</v>
      </c>
      <c r="P375" t="b">
        <f>ValidatePhysicists(BrachyTxs[[#This Row],[Physicist(s)]])</f>
        <v>1</v>
      </c>
      <c r="Q375" t="b">
        <f>ValidateMDs(BrachyTxs[[#This Row],[MD(s)]])</f>
        <v>1</v>
      </c>
      <c r="S375" s="3"/>
    </row>
    <row r="376" spans="1:19" x14ac:dyDescent="0.25">
      <c r="A376" t="s">
        <v>326</v>
      </c>
      <c r="B376" s="1">
        <v>42964</v>
      </c>
      <c r="C376" s="2" t="s">
        <v>287</v>
      </c>
      <c r="D376" s="3"/>
      <c r="E376" s="3"/>
      <c r="F376">
        <f>IF(ISNUMBER(SEARCH("BB",BrachyTxs[[#This Row],[Physicist(s)]])),1,0)</f>
        <v>0</v>
      </c>
      <c r="G376" s="3">
        <f>IF(ISNUMBER(SEARCH("DZ",BrachyTxs[[#This Row],[Physicist(s)]])),1,0)</f>
        <v>0</v>
      </c>
      <c r="H376" s="3">
        <f>IF(ISNUMBER(SEARCH("ZC",BrachyTxs[[#This Row],[Physicist(s)]])),1,0)</f>
        <v>0</v>
      </c>
      <c r="I376" s="3">
        <f>IF(ISNUMBER(SEARCH("DJ",BrachyTxs[[#This Row],[MD(s)]])),1,0)</f>
        <v>0</v>
      </c>
      <c r="J376" s="3">
        <f>IF(ISNUMBER(SEARCH("JS",BrachyTxs[[#This Row],[MD(s)]])),1,0)</f>
        <v>0</v>
      </c>
      <c r="K376" s="3"/>
      <c r="L376" s="3"/>
      <c r="M376" s="3"/>
      <c r="N376" s="3"/>
      <c r="O376" t="b">
        <f>ValidatePatient(BrachyTxs[[#This Row],[Pt]])</f>
        <v>1</v>
      </c>
      <c r="P376" t="b">
        <f>ValidatePhysicists(BrachyTxs[[#This Row],[Physicist(s)]])</f>
        <v>1</v>
      </c>
      <c r="Q376" t="b">
        <f>ValidateMDs(BrachyTxs[[#This Row],[MD(s)]])</f>
        <v>1</v>
      </c>
      <c r="S376" s="3"/>
    </row>
    <row r="377" spans="1:19" x14ac:dyDescent="0.25">
      <c r="A377" t="s">
        <v>326</v>
      </c>
      <c r="B377" s="1">
        <v>42969</v>
      </c>
      <c r="C377" s="2" t="s">
        <v>150</v>
      </c>
      <c r="D377" s="3"/>
      <c r="E377" s="3"/>
      <c r="F377">
        <f>IF(ISNUMBER(SEARCH("BB",BrachyTxs[[#This Row],[Physicist(s)]])),1,0)</f>
        <v>0</v>
      </c>
      <c r="G377" s="3">
        <f>IF(ISNUMBER(SEARCH("DZ",BrachyTxs[[#This Row],[Physicist(s)]])),1,0)</f>
        <v>0</v>
      </c>
      <c r="H377" s="3">
        <f>IF(ISNUMBER(SEARCH("ZC",BrachyTxs[[#This Row],[Physicist(s)]])),1,0)</f>
        <v>0</v>
      </c>
      <c r="I377" s="3">
        <f>IF(ISNUMBER(SEARCH("DJ",BrachyTxs[[#This Row],[MD(s)]])),1,0)</f>
        <v>0</v>
      </c>
      <c r="J377" s="3">
        <f>IF(ISNUMBER(SEARCH("JS",BrachyTxs[[#This Row],[MD(s)]])),1,0)</f>
        <v>0</v>
      </c>
      <c r="K377" s="3"/>
      <c r="L377" s="3"/>
      <c r="M377" s="3"/>
      <c r="N377" s="3"/>
      <c r="O377" t="b">
        <f>ValidatePatient(BrachyTxs[[#This Row],[Pt]])</f>
        <v>1</v>
      </c>
      <c r="P377" t="b">
        <f>ValidatePhysicists(BrachyTxs[[#This Row],[Physicist(s)]])</f>
        <v>1</v>
      </c>
      <c r="Q377" t="b">
        <f>ValidateMDs(BrachyTxs[[#This Row],[MD(s)]])</f>
        <v>1</v>
      </c>
      <c r="S377" s="3"/>
    </row>
    <row r="378" spans="1:19" x14ac:dyDescent="0.25">
      <c r="A378" t="s">
        <v>326</v>
      </c>
      <c r="B378" s="1">
        <v>42971</v>
      </c>
      <c r="C378" s="2" t="s">
        <v>98</v>
      </c>
      <c r="D378" s="3"/>
      <c r="E378" s="3"/>
      <c r="F378">
        <f>IF(ISNUMBER(SEARCH("BB",BrachyTxs[[#This Row],[Physicist(s)]])),1,0)</f>
        <v>0</v>
      </c>
      <c r="G378" s="3">
        <f>IF(ISNUMBER(SEARCH("DZ",BrachyTxs[[#This Row],[Physicist(s)]])),1,0)</f>
        <v>0</v>
      </c>
      <c r="H378" s="3">
        <f>IF(ISNUMBER(SEARCH("ZC",BrachyTxs[[#This Row],[Physicist(s)]])),1,0)</f>
        <v>0</v>
      </c>
      <c r="I378" s="3">
        <f>IF(ISNUMBER(SEARCH("DJ",BrachyTxs[[#This Row],[MD(s)]])),1,0)</f>
        <v>0</v>
      </c>
      <c r="J378" s="3">
        <f>IF(ISNUMBER(SEARCH("JS",BrachyTxs[[#This Row],[MD(s)]])),1,0)</f>
        <v>0</v>
      </c>
      <c r="K378" s="3"/>
      <c r="L378" s="3"/>
      <c r="M378" s="3"/>
      <c r="N378" s="3"/>
      <c r="O378" t="b">
        <f>ValidatePatient(BrachyTxs[[#This Row],[Pt]])</f>
        <v>1</v>
      </c>
      <c r="P378" t="b">
        <f>ValidatePhysicists(BrachyTxs[[#This Row],[Physicist(s)]])</f>
        <v>1</v>
      </c>
      <c r="Q378" t="b">
        <f>ValidateMDs(BrachyTxs[[#This Row],[MD(s)]])</f>
        <v>1</v>
      </c>
      <c r="S378" s="3"/>
    </row>
    <row r="379" spans="1:19" x14ac:dyDescent="0.25">
      <c r="A379" t="s">
        <v>326</v>
      </c>
      <c r="B379" s="1">
        <v>42984</v>
      </c>
      <c r="C379" s="2" t="s">
        <v>270</v>
      </c>
      <c r="D379" s="3"/>
      <c r="E379" s="3"/>
      <c r="F379">
        <f>IF(ISNUMBER(SEARCH("BB",BrachyTxs[[#This Row],[Physicist(s)]])),1,0)</f>
        <v>0</v>
      </c>
      <c r="G379" s="3">
        <f>IF(ISNUMBER(SEARCH("DZ",BrachyTxs[[#This Row],[Physicist(s)]])),1,0)</f>
        <v>0</v>
      </c>
      <c r="H379" s="3">
        <f>IF(ISNUMBER(SEARCH("ZC",BrachyTxs[[#This Row],[Physicist(s)]])),1,0)</f>
        <v>0</v>
      </c>
      <c r="I379" s="3">
        <f>IF(ISNUMBER(SEARCH("DJ",BrachyTxs[[#This Row],[MD(s)]])),1,0)</f>
        <v>0</v>
      </c>
      <c r="J379" s="3">
        <f>IF(ISNUMBER(SEARCH("JS",BrachyTxs[[#This Row],[MD(s)]])),1,0)</f>
        <v>0</v>
      </c>
      <c r="K379" s="3"/>
      <c r="L379" s="3"/>
      <c r="M379" s="3"/>
      <c r="N379" s="3"/>
      <c r="O379" t="b">
        <f>ValidatePatient(BrachyTxs[[#This Row],[Pt]])</f>
        <v>1</v>
      </c>
      <c r="P379" t="b">
        <f>ValidatePhysicists(BrachyTxs[[#This Row],[Physicist(s)]])</f>
        <v>1</v>
      </c>
      <c r="Q379" t="b">
        <f>ValidateMDs(BrachyTxs[[#This Row],[MD(s)]])</f>
        <v>1</v>
      </c>
      <c r="S379" s="3"/>
    </row>
    <row r="380" spans="1:19" x14ac:dyDescent="0.25">
      <c r="A380" t="s">
        <v>326</v>
      </c>
      <c r="B380" s="1">
        <v>42997</v>
      </c>
      <c r="C380" s="2" t="s">
        <v>287</v>
      </c>
      <c r="D380" s="3"/>
      <c r="E380" s="3"/>
      <c r="F380">
        <f>IF(ISNUMBER(SEARCH("BB",BrachyTxs[[#This Row],[Physicist(s)]])),1,0)</f>
        <v>0</v>
      </c>
      <c r="G380" s="3">
        <f>IF(ISNUMBER(SEARCH("DZ",BrachyTxs[[#This Row],[Physicist(s)]])),1,0)</f>
        <v>0</v>
      </c>
      <c r="H380" s="3">
        <f>IF(ISNUMBER(SEARCH("ZC",BrachyTxs[[#This Row],[Physicist(s)]])),1,0)</f>
        <v>0</v>
      </c>
      <c r="I380" s="3">
        <f>IF(ISNUMBER(SEARCH("DJ",BrachyTxs[[#This Row],[MD(s)]])),1,0)</f>
        <v>0</v>
      </c>
      <c r="J380" s="3">
        <f>IF(ISNUMBER(SEARCH("JS",BrachyTxs[[#This Row],[MD(s)]])),1,0)</f>
        <v>0</v>
      </c>
      <c r="K380" s="3"/>
      <c r="L380" s="3"/>
      <c r="M380" s="3"/>
      <c r="N380" s="3"/>
      <c r="O380" t="b">
        <f>ValidatePatient(BrachyTxs[[#This Row],[Pt]])</f>
        <v>1</v>
      </c>
      <c r="P380" t="b">
        <f>ValidatePhysicists(BrachyTxs[[#This Row],[Physicist(s)]])</f>
        <v>1</v>
      </c>
      <c r="Q380" t="b">
        <f>ValidateMDs(BrachyTxs[[#This Row],[MD(s)]])</f>
        <v>1</v>
      </c>
      <c r="S380" s="3"/>
    </row>
    <row r="381" spans="1:19" x14ac:dyDescent="0.25">
      <c r="A381" t="s">
        <v>326</v>
      </c>
      <c r="B381" s="1">
        <v>42999</v>
      </c>
      <c r="C381" s="2" t="s">
        <v>150</v>
      </c>
      <c r="D381" s="3"/>
      <c r="E381" s="3"/>
      <c r="F381">
        <f>IF(ISNUMBER(SEARCH("BB",BrachyTxs[[#This Row],[Physicist(s)]])),1,0)</f>
        <v>0</v>
      </c>
      <c r="G381" s="3">
        <f>IF(ISNUMBER(SEARCH("DZ",BrachyTxs[[#This Row],[Physicist(s)]])),1,0)</f>
        <v>0</v>
      </c>
      <c r="H381" s="3">
        <f>IF(ISNUMBER(SEARCH("ZC",BrachyTxs[[#This Row],[Physicist(s)]])),1,0)</f>
        <v>0</v>
      </c>
      <c r="I381" s="3">
        <f>IF(ISNUMBER(SEARCH("DJ",BrachyTxs[[#This Row],[MD(s)]])),1,0)</f>
        <v>0</v>
      </c>
      <c r="J381" s="3">
        <f>IF(ISNUMBER(SEARCH("JS",BrachyTxs[[#This Row],[MD(s)]])),1,0)</f>
        <v>0</v>
      </c>
      <c r="K381" s="3"/>
      <c r="L381" s="3"/>
      <c r="M381" s="3"/>
      <c r="N381" s="3"/>
      <c r="O381" t="b">
        <f>ValidatePatient(BrachyTxs[[#This Row],[Pt]])</f>
        <v>1</v>
      </c>
      <c r="P381" t="b">
        <f>ValidatePhysicists(BrachyTxs[[#This Row],[Physicist(s)]])</f>
        <v>1</v>
      </c>
      <c r="Q381" t="b">
        <f>ValidateMDs(BrachyTxs[[#This Row],[MD(s)]])</f>
        <v>1</v>
      </c>
      <c r="S381" s="3"/>
    </row>
    <row r="382" spans="1:19" x14ac:dyDescent="0.25">
      <c r="A382" t="s">
        <v>325</v>
      </c>
      <c r="B382" s="1">
        <v>42999</v>
      </c>
      <c r="C382" s="2" t="s">
        <v>221</v>
      </c>
      <c r="D382" s="3"/>
      <c r="E382" s="3"/>
      <c r="F382">
        <f>IF(ISNUMBER(SEARCH("BB",BrachyTxs[[#This Row],[Physicist(s)]])),1,0)</f>
        <v>0</v>
      </c>
      <c r="G382" s="3">
        <f>IF(ISNUMBER(SEARCH("DZ",BrachyTxs[[#This Row],[Physicist(s)]])),1,0)</f>
        <v>0</v>
      </c>
      <c r="H382" s="3">
        <f>IF(ISNUMBER(SEARCH("ZC",BrachyTxs[[#This Row],[Physicist(s)]])),1,0)</f>
        <v>0</v>
      </c>
      <c r="I382" s="3">
        <f>IF(ISNUMBER(SEARCH("DJ",BrachyTxs[[#This Row],[MD(s)]])),1,0)</f>
        <v>0</v>
      </c>
      <c r="J382" s="3">
        <f>IF(ISNUMBER(SEARCH("JS",BrachyTxs[[#This Row],[MD(s)]])),1,0)</f>
        <v>0</v>
      </c>
      <c r="K382" s="3"/>
      <c r="L382" s="3"/>
      <c r="M382" s="3"/>
      <c r="N382" s="3"/>
      <c r="O382" t="b">
        <f>ValidatePatient(BrachyTxs[[#This Row],[Pt]])</f>
        <v>1</v>
      </c>
      <c r="P382" t="b">
        <f>ValidatePhysicists(BrachyTxs[[#This Row],[Physicist(s)]])</f>
        <v>1</v>
      </c>
      <c r="Q382" t="b">
        <f>ValidateMDs(BrachyTxs[[#This Row],[MD(s)]])</f>
        <v>1</v>
      </c>
      <c r="S382" s="3"/>
    </row>
    <row r="383" spans="1:19" x14ac:dyDescent="0.25">
      <c r="A383" t="s">
        <v>326</v>
      </c>
      <c r="B383" s="1">
        <v>42999</v>
      </c>
      <c r="C383" s="2" t="s">
        <v>98</v>
      </c>
      <c r="D383" s="3"/>
      <c r="E383" s="3"/>
      <c r="F383">
        <f>IF(ISNUMBER(SEARCH("BB",BrachyTxs[[#This Row],[Physicist(s)]])),1,0)</f>
        <v>0</v>
      </c>
      <c r="G383" s="3">
        <f>IF(ISNUMBER(SEARCH("DZ",BrachyTxs[[#This Row],[Physicist(s)]])),1,0)</f>
        <v>0</v>
      </c>
      <c r="H383" s="3">
        <f>IF(ISNUMBER(SEARCH("ZC",BrachyTxs[[#This Row],[Physicist(s)]])),1,0)</f>
        <v>0</v>
      </c>
      <c r="I383" s="3">
        <f>IF(ISNUMBER(SEARCH("DJ",BrachyTxs[[#This Row],[MD(s)]])),1,0)</f>
        <v>0</v>
      </c>
      <c r="J383" s="3">
        <f>IF(ISNUMBER(SEARCH("JS",BrachyTxs[[#This Row],[MD(s)]])),1,0)</f>
        <v>0</v>
      </c>
      <c r="K383" s="3"/>
      <c r="L383" s="3"/>
      <c r="M383" s="3"/>
      <c r="N383" s="3"/>
      <c r="O383" t="b">
        <f>ValidatePatient(BrachyTxs[[#This Row],[Pt]])</f>
        <v>1</v>
      </c>
      <c r="P383" t="b">
        <f>ValidatePhysicists(BrachyTxs[[#This Row],[Physicist(s)]])</f>
        <v>1</v>
      </c>
      <c r="Q383" t="b">
        <f>ValidateMDs(BrachyTxs[[#This Row],[MD(s)]])</f>
        <v>1</v>
      </c>
      <c r="S383" s="3"/>
    </row>
    <row r="384" spans="1:19" x14ac:dyDescent="0.25">
      <c r="A384" t="s">
        <v>326</v>
      </c>
      <c r="B384" s="1">
        <v>43012</v>
      </c>
      <c r="C384" s="2" t="s">
        <v>270</v>
      </c>
      <c r="D384" s="3"/>
      <c r="E384" s="3"/>
      <c r="F384">
        <f>IF(ISNUMBER(SEARCH("BB",BrachyTxs[[#This Row],[Physicist(s)]])),1,0)</f>
        <v>0</v>
      </c>
      <c r="G384" s="3">
        <f>IF(ISNUMBER(SEARCH("DZ",BrachyTxs[[#This Row],[Physicist(s)]])),1,0)</f>
        <v>0</v>
      </c>
      <c r="H384" s="3">
        <f>IF(ISNUMBER(SEARCH("ZC",BrachyTxs[[#This Row],[Physicist(s)]])),1,0)</f>
        <v>0</v>
      </c>
      <c r="I384" s="3">
        <f>IF(ISNUMBER(SEARCH("DJ",BrachyTxs[[#This Row],[MD(s)]])),1,0)</f>
        <v>0</v>
      </c>
      <c r="J384" s="3">
        <f>IF(ISNUMBER(SEARCH("JS",BrachyTxs[[#This Row],[MD(s)]])),1,0)</f>
        <v>0</v>
      </c>
      <c r="K384" s="3"/>
      <c r="L384" s="3"/>
      <c r="M384" s="3"/>
      <c r="N384" s="3"/>
      <c r="O384" t="b">
        <f>ValidatePatient(BrachyTxs[[#This Row],[Pt]])</f>
        <v>1</v>
      </c>
      <c r="P384" t="b">
        <f>ValidatePhysicists(BrachyTxs[[#This Row],[Physicist(s)]])</f>
        <v>1</v>
      </c>
      <c r="Q384" t="b">
        <f>ValidateMDs(BrachyTxs[[#This Row],[MD(s)]])</f>
        <v>1</v>
      </c>
      <c r="S384" s="3"/>
    </row>
    <row r="385" spans="1:19" x14ac:dyDescent="0.25">
      <c r="A385" t="s">
        <v>326</v>
      </c>
      <c r="B385" s="1">
        <v>43025</v>
      </c>
      <c r="C385" s="2" t="s">
        <v>287</v>
      </c>
      <c r="D385" s="3"/>
      <c r="E385" s="3"/>
      <c r="F385">
        <f>IF(ISNUMBER(SEARCH("BB",BrachyTxs[[#This Row],[Physicist(s)]])),1,0)</f>
        <v>0</v>
      </c>
      <c r="G385" s="3">
        <f>IF(ISNUMBER(SEARCH("DZ",BrachyTxs[[#This Row],[Physicist(s)]])),1,0)</f>
        <v>0</v>
      </c>
      <c r="H385" s="3">
        <f>IF(ISNUMBER(SEARCH("ZC",BrachyTxs[[#This Row],[Physicist(s)]])),1,0)</f>
        <v>0</v>
      </c>
      <c r="I385" s="3">
        <f>IF(ISNUMBER(SEARCH("DJ",BrachyTxs[[#This Row],[MD(s)]])),1,0)</f>
        <v>0</v>
      </c>
      <c r="J385" s="3">
        <f>IF(ISNUMBER(SEARCH("JS",BrachyTxs[[#This Row],[MD(s)]])),1,0)</f>
        <v>0</v>
      </c>
      <c r="K385" s="3"/>
      <c r="L385" s="3"/>
      <c r="M385" s="3"/>
      <c r="N385" s="3"/>
      <c r="O385" t="b">
        <f>ValidatePatient(BrachyTxs[[#This Row],[Pt]])</f>
        <v>1</v>
      </c>
      <c r="P385" t="b">
        <f>ValidatePhysicists(BrachyTxs[[#This Row],[Physicist(s)]])</f>
        <v>1</v>
      </c>
      <c r="Q385" t="b">
        <f>ValidateMDs(BrachyTxs[[#This Row],[MD(s)]])</f>
        <v>1</v>
      </c>
      <c r="S385" s="3"/>
    </row>
    <row r="386" spans="1:19" x14ac:dyDescent="0.25">
      <c r="A386" t="s">
        <v>326</v>
      </c>
      <c r="B386" s="1">
        <v>43027</v>
      </c>
      <c r="C386" s="2" t="s">
        <v>150</v>
      </c>
      <c r="D386" s="3"/>
      <c r="E386" s="3"/>
      <c r="F386">
        <f>IF(ISNUMBER(SEARCH("BB",BrachyTxs[[#This Row],[Physicist(s)]])),1,0)</f>
        <v>0</v>
      </c>
      <c r="G386" s="3">
        <f>IF(ISNUMBER(SEARCH("DZ",BrachyTxs[[#This Row],[Physicist(s)]])),1,0)</f>
        <v>0</v>
      </c>
      <c r="H386" s="3">
        <f>IF(ISNUMBER(SEARCH("ZC",BrachyTxs[[#This Row],[Physicist(s)]])),1,0)</f>
        <v>0</v>
      </c>
      <c r="I386" s="3">
        <f>IF(ISNUMBER(SEARCH("DJ",BrachyTxs[[#This Row],[MD(s)]])),1,0)</f>
        <v>0</v>
      </c>
      <c r="J386" s="3">
        <f>IF(ISNUMBER(SEARCH("JS",BrachyTxs[[#This Row],[MD(s)]])),1,0)</f>
        <v>0</v>
      </c>
      <c r="K386" s="3"/>
      <c r="L386" s="3"/>
      <c r="M386" s="3"/>
      <c r="N386" s="3"/>
      <c r="O386" t="b">
        <f>ValidatePatient(BrachyTxs[[#This Row],[Pt]])</f>
        <v>1</v>
      </c>
      <c r="P386" t="b">
        <f>ValidatePhysicists(BrachyTxs[[#This Row],[Physicist(s)]])</f>
        <v>1</v>
      </c>
      <c r="Q386" t="b">
        <f>ValidateMDs(BrachyTxs[[#This Row],[MD(s)]])</f>
        <v>1</v>
      </c>
      <c r="S386" s="3"/>
    </row>
    <row r="387" spans="1:19" x14ac:dyDescent="0.25">
      <c r="A387" t="s">
        <v>326</v>
      </c>
      <c r="B387" s="1">
        <v>43027</v>
      </c>
      <c r="C387" s="2" t="s">
        <v>98</v>
      </c>
      <c r="D387" s="3"/>
      <c r="E387" s="3"/>
      <c r="F387">
        <f>IF(ISNUMBER(SEARCH("BB",BrachyTxs[[#This Row],[Physicist(s)]])),1,0)</f>
        <v>0</v>
      </c>
      <c r="G387" s="3">
        <f>IF(ISNUMBER(SEARCH("DZ",BrachyTxs[[#This Row],[Physicist(s)]])),1,0)</f>
        <v>0</v>
      </c>
      <c r="H387" s="3">
        <f>IF(ISNUMBER(SEARCH("ZC",BrachyTxs[[#This Row],[Physicist(s)]])),1,0)</f>
        <v>0</v>
      </c>
      <c r="I387" s="3">
        <f>IF(ISNUMBER(SEARCH("DJ",BrachyTxs[[#This Row],[MD(s)]])),1,0)</f>
        <v>0</v>
      </c>
      <c r="J387" s="3">
        <f>IF(ISNUMBER(SEARCH("JS",BrachyTxs[[#This Row],[MD(s)]])),1,0)</f>
        <v>0</v>
      </c>
      <c r="K387" s="3"/>
      <c r="L387" s="3"/>
      <c r="M387" s="3"/>
      <c r="N387" s="3"/>
      <c r="O387" t="b">
        <f>ValidatePatient(BrachyTxs[[#This Row],[Pt]])</f>
        <v>1</v>
      </c>
      <c r="P387" t="b">
        <f>ValidatePhysicists(BrachyTxs[[#This Row],[Physicist(s)]])</f>
        <v>1</v>
      </c>
      <c r="Q387" t="b">
        <f>ValidateMDs(BrachyTxs[[#This Row],[MD(s)]])</f>
        <v>1</v>
      </c>
      <c r="S387" s="3"/>
    </row>
    <row r="388" spans="1:19" x14ac:dyDescent="0.25">
      <c r="A388" t="s">
        <v>323</v>
      </c>
      <c r="B388" s="1">
        <v>43034</v>
      </c>
      <c r="C388" s="2" t="s">
        <v>34</v>
      </c>
      <c r="D388" s="3"/>
      <c r="E388" s="3"/>
      <c r="F388">
        <f>IF(ISNUMBER(SEARCH("BB",BrachyTxs[[#This Row],[Physicist(s)]])),1,0)</f>
        <v>0</v>
      </c>
      <c r="G388" s="3">
        <f>IF(ISNUMBER(SEARCH("DZ",BrachyTxs[[#This Row],[Physicist(s)]])),1,0)</f>
        <v>0</v>
      </c>
      <c r="H388" s="3">
        <f>IF(ISNUMBER(SEARCH("ZC",BrachyTxs[[#This Row],[Physicist(s)]])),1,0)</f>
        <v>0</v>
      </c>
      <c r="I388" s="3">
        <f>IF(ISNUMBER(SEARCH("DJ",BrachyTxs[[#This Row],[MD(s)]])),1,0)</f>
        <v>0</v>
      </c>
      <c r="J388" s="3">
        <f>IF(ISNUMBER(SEARCH("JS",BrachyTxs[[#This Row],[MD(s)]])),1,0)</f>
        <v>0</v>
      </c>
      <c r="K388" s="3"/>
      <c r="L388" s="3"/>
      <c r="M388" s="3"/>
      <c r="N388" s="3"/>
      <c r="O388" t="b">
        <f>ValidatePatient(BrachyTxs[[#This Row],[Pt]])</f>
        <v>1</v>
      </c>
      <c r="P388" t="b">
        <f>ValidatePhysicists(BrachyTxs[[#This Row],[Physicist(s)]])</f>
        <v>1</v>
      </c>
      <c r="Q388" t="b">
        <f>ValidateMDs(BrachyTxs[[#This Row],[MD(s)]])</f>
        <v>1</v>
      </c>
      <c r="S388" s="3"/>
    </row>
    <row r="389" spans="1:19" x14ac:dyDescent="0.25">
      <c r="A389" t="s">
        <v>326</v>
      </c>
      <c r="B389" s="1">
        <v>43040</v>
      </c>
      <c r="C389" s="2" t="s">
        <v>270</v>
      </c>
      <c r="D389" s="3"/>
      <c r="E389" s="3"/>
      <c r="F389">
        <f>IF(ISNUMBER(SEARCH("BB",BrachyTxs[[#This Row],[Physicist(s)]])),1,0)</f>
        <v>0</v>
      </c>
      <c r="G389" s="3">
        <f>IF(ISNUMBER(SEARCH("DZ",BrachyTxs[[#This Row],[Physicist(s)]])),1,0)</f>
        <v>0</v>
      </c>
      <c r="H389" s="3">
        <f>IF(ISNUMBER(SEARCH("ZC",BrachyTxs[[#This Row],[Physicist(s)]])),1,0)</f>
        <v>0</v>
      </c>
      <c r="I389" s="3">
        <f>IF(ISNUMBER(SEARCH("DJ",BrachyTxs[[#This Row],[MD(s)]])),1,0)</f>
        <v>0</v>
      </c>
      <c r="J389" s="3">
        <f>IF(ISNUMBER(SEARCH("JS",BrachyTxs[[#This Row],[MD(s)]])),1,0)</f>
        <v>0</v>
      </c>
      <c r="K389" s="3"/>
      <c r="L389" s="3"/>
      <c r="M389" s="3"/>
      <c r="N389" s="3"/>
      <c r="O389" t="b">
        <f>ValidatePatient(BrachyTxs[[#This Row],[Pt]])</f>
        <v>1</v>
      </c>
      <c r="P389" t="b">
        <f>ValidatePhysicists(BrachyTxs[[#This Row],[Physicist(s)]])</f>
        <v>1</v>
      </c>
      <c r="Q389" t="b">
        <f>ValidateMDs(BrachyTxs[[#This Row],[MD(s)]])</f>
        <v>1</v>
      </c>
      <c r="S389" s="3"/>
    </row>
    <row r="390" spans="1:19" x14ac:dyDescent="0.25">
      <c r="A390" t="s">
        <v>323</v>
      </c>
      <c r="B390" s="1">
        <v>43048</v>
      </c>
      <c r="C390" s="2" t="s">
        <v>43</v>
      </c>
      <c r="D390" s="3"/>
      <c r="E390" s="3"/>
      <c r="F390">
        <f>IF(ISNUMBER(SEARCH("BB",BrachyTxs[[#This Row],[Physicist(s)]])),1,0)</f>
        <v>0</v>
      </c>
      <c r="G390" s="3">
        <f>IF(ISNUMBER(SEARCH("DZ",BrachyTxs[[#This Row],[Physicist(s)]])),1,0)</f>
        <v>0</v>
      </c>
      <c r="H390" s="3">
        <f>IF(ISNUMBER(SEARCH("ZC",BrachyTxs[[#This Row],[Physicist(s)]])),1,0)</f>
        <v>0</v>
      </c>
      <c r="I390" s="3">
        <f>IF(ISNUMBER(SEARCH("DJ",BrachyTxs[[#This Row],[MD(s)]])),1,0)</f>
        <v>0</v>
      </c>
      <c r="J390" s="3">
        <f>IF(ISNUMBER(SEARCH("JS",BrachyTxs[[#This Row],[MD(s)]])),1,0)</f>
        <v>0</v>
      </c>
      <c r="K390" s="3"/>
      <c r="L390" s="3"/>
      <c r="M390" s="3"/>
      <c r="N390" s="3"/>
      <c r="O390" t="b">
        <f>ValidatePatient(BrachyTxs[[#This Row],[Pt]])</f>
        <v>1</v>
      </c>
      <c r="P390" t="b">
        <f>ValidatePhysicists(BrachyTxs[[#This Row],[Physicist(s)]])</f>
        <v>1</v>
      </c>
      <c r="Q390" t="b">
        <f>ValidateMDs(BrachyTxs[[#This Row],[MD(s)]])</f>
        <v>1</v>
      </c>
      <c r="S390" s="3"/>
    </row>
    <row r="391" spans="1:19" x14ac:dyDescent="0.25">
      <c r="A391" t="s">
        <v>326</v>
      </c>
      <c r="B391" s="1">
        <v>43055</v>
      </c>
      <c r="C391" s="2" t="s">
        <v>150</v>
      </c>
      <c r="D391" s="3"/>
      <c r="E391" s="3"/>
      <c r="F391">
        <f>IF(ISNUMBER(SEARCH("BB",BrachyTxs[[#This Row],[Physicist(s)]])),1,0)</f>
        <v>0</v>
      </c>
      <c r="G391" s="3">
        <f>IF(ISNUMBER(SEARCH("DZ",BrachyTxs[[#This Row],[Physicist(s)]])),1,0)</f>
        <v>0</v>
      </c>
      <c r="H391" s="3">
        <f>IF(ISNUMBER(SEARCH("ZC",BrachyTxs[[#This Row],[Physicist(s)]])),1,0)</f>
        <v>0</v>
      </c>
      <c r="I391" s="3">
        <f>IF(ISNUMBER(SEARCH("DJ",BrachyTxs[[#This Row],[MD(s)]])),1,0)</f>
        <v>0</v>
      </c>
      <c r="J391" s="3">
        <f>IF(ISNUMBER(SEARCH("JS",BrachyTxs[[#This Row],[MD(s)]])),1,0)</f>
        <v>0</v>
      </c>
      <c r="K391" s="3"/>
      <c r="L391" s="3"/>
      <c r="M391" s="3"/>
      <c r="N391" s="3"/>
      <c r="O391" t="b">
        <f>ValidatePatient(BrachyTxs[[#This Row],[Pt]])</f>
        <v>1</v>
      </c>
      <c r="P391" t="b">
        <f>ValidatePhysicists(BrachyTxs[[#This Row],[Physicist(s)]])</f>
        <v>1</v>
      </c>
      <c r="Q391" t="b">
        <f>ValidateMDs(BrachyTxs[[#This Row],[MD(s)]])</f>
        <v>1</v>
      </c>
      <c r="S391" s="3"/>
    </row>
    <row r="392" spans="1:19" x14ac:dyDescent="0.25">
      <c r="A392" t="s">
        <v>326</v>
      </c>
      <c r="B392" s="1">
        <v>43055</v>
      </c>
      <c r="C392" s="2" t="s">
        <v>287</v>
      </c>
      <c r="D392" s="3"/>
      <c r="E392" s="3"/>
      <c r="F392">
        <f>IF(ISNUMBER(SEARCH("BB",BrachyTxs[[#This Row],[Physicist(s)]])),1,0)</f>
        <v>0</v>
      </c>
      <c r="G392" s="3">
        <f>IF(ISNUMBER(SEARCH("DZ",BrachyTxs[[#This Row],[Physicist(s)]])),1,0)</f>
        <v>0</v>
      </c>
      <c r="H392" s="3">
        <f>IF(ISNUMBER(SEARCH("ZC",BrachyTxs[[#This Row],[Physicist(s)]])),1,0)</f>
        <v>0</v>
      </c>
      <c r="I392" s="3">
        <f>IF(ISNUMBER(SEARCH("DJ",BrachyTxs[[#This Row],[MD(s)]])),1,0)</f>
        <v>0</v>
      </c>
      <c r="J392" s="3">
        <f>IF(ISNUMBER(SEARCH("JS",BrachyTxs[[#This Row],[MD(s)]])),1,0)</f>
        <v>0</v>
      </c>
      <c r="K392" s="3"/>
      <c r="L392" s="3"/>
      <c r="M392" s="3"/>
      <c r="N392" s="3"/>
      <c r="O392" t="b">
        <f>ValidatePatient(BrachyTxs[[#This Row],[Pt]])</f>
        <v>1</v>
      </c>
      <c r="P392" t="b">
        <f>ValidatePhysicists(BrachyTxs[[#This Row],[Physicist(s)]])</f>
        <v>1</v>
      </c>
      <c r="Q392" t="b">
        <f>ValidateMDs(BrachyTxs[[#This Row],[MD(s)]])</f>
        <v>1</v>
      </c>
      <c r="S392" s="3"/>
    </row>
    <row r="393" spans="1:19" x14ac:dyDescent="0.25">
      <c r="A393" t="s">
        <v>326</v>
      </c>
      <c r="B393" s="1">
        <v>43083</v>
      </c>
      <c r="C393" s="2" t="s">
        <v>150</v>
      </c>
      <c r="D393" s="3"/>
      <c r="E393" s="3"/>
      <c r="F393">
        <f>IF(ISNUMBER(SEARCH("BB",BrachyTxs[[#This Row],[Physicist(s)]])),1,0)</f>
        <v>0</v>
      </c>
      <c r="G393" s="3">
        <f>IF(ISNUMBER(SEARCH("DZ",BrachyTxs[[#This Row],[Physicist(s)]])),1,0)</f>
        <v>0</v>
      </c>
      <c r="H393" s="3">
        <f>IF(ISNUMBER(SEARCH("ZC",BrachyTxs[[#This Row],[Physicist(s)]])),1,0)</f>
        <v>0</v>
      </c>
      <c r="I393" s="3">
        <f>IF(ISNUMBER(SEARCH("DJ",BrachyTxs[[#This Row],[MD(s)]])),1,0)</f>
        <v>0</v>
      </c>
      <c r="J393" s="3">
        <f>IF(ISNUMBER(SEARCH("JS",BrachyTxs[[#This Row],[MD(s)]])),1,0)</f>
        <v>0</v>
      </c>
      <c r="K393" s="3"/>
      <c r="L393" s="3"/>
      <c r="M393" s="3"/>
      <c r="N393" s="3"/>
      <c r="O393" t="b">
        <f>ValidatePatient(BrachyTxs[[#This Row],[Pt]])</f>
        <v>1</v>
      </c>
      <c r="P393" t="b">
        <f>ValidatePhysicists(BrachyTxs[[#This Row],[Physicist(s)]])</f>
        <v>1</v>
      </c>
      <c r="Q393" t="b">
        <f>ValidateMDs(BrachyTxs[[#This Row],[MD(s)]])</f>
        <v>1</v>
      </c>
      <c r="S393" s="3"/>
    </row>
    <row r="394" spans="1:19" x14ac:dyDescent="0.25">
      <c r="A394" t="s">
        <v>326</v>
      </c>
      <c r="B394" s="1">
        <v>43083</v>
      </c>
      <c r="C394" s="2" t="s">
        <v>287</v>
      </c>
      <c r="D394" s="3"/>
      <c r="E394" s="3"/>
      <c r="F394">
        <f>IF(ISNUMBER(SEARCH("BB",BrachyTxs[[#This Row],[Physicist(s)]])),1,0)</f>
        <v>0</v>
      </c>
      <c r="G394" s="3">
        <f>IF(ISNUMBER(SEARCH("DZ",BrachyTxs[[#This Row],[Physicist(s)]])),1,0)</f>
        <v>0</v>
      </c>
      <c r="H394" s="3">
        <f>IF(ISNUMBER(SEARCH("ZC",BrachyTxs[[#This Row],[Physicist(s)]])),1,0)</f>
        <v>0</v>
      </c>
      <c r="I394" s="3">
        <f>IF(ISNUMBER(SEARCH("DJ",BrachyTxs[[#This Row],[MD(s)]])),1,0)</f>
        <v>0</v>
      </c>
      <c r="J394" s="3">
        <f>IF(ISNUMBER(SEARCH("JS",BrachyTxs[[#This Row],[MD(s)]])),1,0)</f>
        <v>0</v>
      </c>
      <c r="K394" s="3"/>
      <c r="L394" s="3"/>
      <c r="M394" s="3"/>
      <c r="N394" s="3"/>
      <c r="O394" t="b">
        <f>ValidatePatient(BrachyTxs[[#This Row],[Pt]])</f>
        <v>1</v>
      </c>
      <c r="P394" t="b">
        <f>ValidatePhysicists(BrachyTxs[[#This Row],[Physicist(s)]])</f>
        <v>1</v>
      </c>
      <c r="Q394" t="b">
        <f>ValidateMDs(BrachyTxs[[#This Row],[MD(s)]])</f>
        <v>1</v>
      </c>
      <c r="S394" s="3"/>
    </row>
    <row r="395" spans="1:19" x14ac:dyDescent="0.25">
      <c r="A395" t="s">
        <v>326</v>
      </c>
      <c r="B395" s="1">
        <v>43104</v>
      </c>
      <c r="C395" s="2" t="s">
        <v>13</v>
      </c>
      <c r="D395" s="3"/>
      <c r="E395" s="3"/>
      <c r="F395">
        <f>IF(ISNUMBER(SEARCH("BB",BrachyTxs[[#This Row],[Physicist(s)]])),1,0)</f>
        <v>0</v>
      </c>
      <c r="G395" s="3">
        <f>IF(ISNUMBER(SEARCH("DZ",BrachyTxs[[#This Row],[Physicist(s)]])),1,0)</f>
        <v>0</v>
      </c>
      <c r="H395" s="3">
        <f>IF(ISNUMBER(SEARCH("ZC",BrachyTxs[[#This Row],[Physicist(s)]])),1,0)</f>
        <v>0</v>
      </c>
      <c r="I395" s="3">
        <f>IF(ISNUMBER(SEARCH("DJ",BrachyTxs[[#This Row],[MD(s)]])),1,0)</f>
        <v>0</v>
      </c>
      <c r="J395" s="3">
        <f>IF(ISNUMBER(SEARCH("JS",BrachyTxs[[#This Row],[MD(s)]])),1,0)</f>
        <v>0</v>
      </c>
      <c r="K395" s="3"/>
      <c r="L395" s="3"/>
      <c r="M395" s="3"/>
      <c r="N395" s="3"/>
      <c r="O395" t="b">
        <f>ValidatePatient(BrachyTxs[[#This Row],[Pt]])</f>
        <v>1</v>
      </c>
      <c r="P395" t="b">
        <f>ValidatePhysicists(BrachyTxs[[#This Row],[Physicist(s)]])</f>
        <v>1</v>
      </c>
      <c r="Q395" t="b">
        <f>ValidateMDs(BrachyTxs[[#This Row],[MD(s)]])</f>
        <v>1</v>
      </c>
      <c r="S395" s="3"/>
    </row>
    <row r="396" spans="1:19" x14ac:dyDescent="0.25">
      <c r="A396" t="s">
        <v>326</v>
      </c>
      <c r="B396" s="1">
        <v>43136</v>
      </c>
      <c r="C396" s="2" t="s">
        <v>13</v>
      </c>
      <c r="D396" s="3"/>
      <c r="E396" s="3"/>
      <c r="F396">
        <f>IF(ISNUMBER(SEARCH("BB",BrachyTxs[[#This Row],[Physicist(s)]])),1,0)</f>
        <v>0</v>
      </c>
      <c r="G396" s="3">
        <f>IF(ISNUMBER(SEARCH("DZ",BrachyTxs[[#This Row],[Physicist(s)]])),1,0)</f>
        <v>0</v>
      </c>
      <c r="H396" s="3">
        <f>IF(ISNUMBER(SEARCH("ZC",BrachyTxs[[#This Row],[Physicist(s)]])),1,0)</f>
        <v>0</v>
      </c>
      <c r="I396" s="3">
        <f>IF(ISNUMBER(SEARCH("DJ",BrachyTxs[[#This Row],[MD(s)]])),1,0)</f>
        <v>0</v>
      </c>
      <c r="J396" s="3">
        <f>IF(ISNUMBER(SEARCH("JS",BrachyTxs[[#This Row],[MD(s)]])),1,0)</f>
        <v>0</v>
      </c>
      <c r="K396" s="3"/>
      <c r="L396" s="3"/>
      <c r="M396" s="3"/>
      <c r="N396" s="3"/>
      <c r="O396" t="b">
        <f>ValidatePatient(BrachyTxs[[#This Row],[Pt]])</f>
        <v>1</v>
      </c>
      <c r="P396" t="b">
        <f>ValidatePhysicists(BrachyTxs[[#This Row],[Physicist(s)]])</f>
        <v>1</v>
      </c>
      <c r="Q396" t="b">
        <f>ValidateMDs(BrachyTxs[[#This Row],[MD(s)]])</f>
        <v>1</v>
      </c>
      <c r="S396" s="3"/>
    </row>
    <row r="397" spans="1:19" x14ac:dyDescent="0.25">
      <c r="A397" t="s">
        <v>324</v>
      </c>
      <c r="B397" s="1">
        <v>43150</v>
      </c>
      <c r="C397" s="2" t="s">
        <v>97</v>
      </c>
      <c r="D397" s="3"/>
      <c r="E397" s="3" t="s">
        <v>336</v>
      </c>
      <c r="F397">
        <f>IF(ISNUMBER(SEARCH("BB",BrachyTxs[[#This Row],[Physicist(s)]])),1,0)</f>
        <v>0</v>
      </c>
      <c r="G397" s="3">
        <f>IF(ISNUMBER(SEARCH("DZ",BrachyTxs[[#This Row],[Physicist(s)]])),1,0)</f>
        <v>0</v>
      </c>
      <c r="H397" s="3">
        <f>IF(ISNUMBER(SEARCH("ZC",BrachyTxs[[#This Row],[Physicist(s)]])),1,0)</f>
        <v>0</v>
      </c>
      <c r="I397" s="3">
        <f>IF(ISNUMBER(SEARCH("DJ",BrachyTxs[[#This Row],[MD(s)]])),1,0)</f>
        <v>0</v>
      </c>
      <c r="J397" s="3">
        <f>IF(ISNUMBER(SEARCH("JS",BrachyTxs[[#This Row],[MD(s)]])),1,0)</f>
        <v>1</v>
      </c>
      <c r="K397" s="3"/>
      <c r="L397" s="3"/>
      <c r="M397" s="3"/>
      <c r="N397" s="3"/>
      <c r="O397" t="b">
        <f>ValidatePatient(BrachyTxs[[#This Row],[Pt]])</f>
        <v>1</v>
      </c>
      <c r="P397" t="b">
        <f>ValidatePhysicists(BrachyTxs[[#This Row],[Physicist(s)]])</f>
        <v>1</v>
      </c>
      <c r="Q397" t="b">
        <f>ValidateMDs(BrachyTxs[[#This Row],[MD(s)]])</f>
        <v>0</v>
      </c>
      <c r="S397" s="3"/>
    </row>
    <row r="398" spans="1:19" x14ac:dyDescent="0.25">
      <c r="A398" t="s">
        <v>325</v>
      </c>
      <c r="B398" s="1">
        <v>43152</v>
      </c>
      <c r="C398" s="2" t="s">
        <v>320</v>
      </c>
      <c r="D398" s="3"/>
      <c r="E398" s="3"/>
      <c r="F398">
        <f>IF(ISNUMBER(SEARCH("BB",BrachyTxs[[#This Row],[Physicist(s)]])),1,0)</f>
        <v>0</v>
      </c>
      <c r="G398" s="3">
        <f>IF(ISNUMBER(SEARCH("DZ",BrachyTxs[[#This Row],[Physicist(s)]])),1,0)</f>
        <v>0</v>
      </c>
      <c r="H398" s="3">
        <f>IF(ISNUMBER(SEARCH("ZC",BrachyTxs[[#This Row],[Physicist(s)]])),1,0)</f>
        <v>0</v>
      </c>
      <c r="I398" s="3">
        <f>IF(ISNUMBER(SEARCH("DJ",BrachyTxs[[#This Row],[MD(s)]])),1,0)</f>
        <v>0</v>
      </c>
      <c r="J398" s="3">
        <f>IF(ISNUMBER(SEARCH("JS",BrachyTxs[[#This Row],[MD(s)]])),1,0)</f>
        <v>0</v>
      </c>
      <c r="K398" s="3"/>
      <c r="L398" s="3"/>
      <c r="M398" s="3"/>
      <c r="N398" s="3"/>
      <c r="O398" t="b">
        <f>ValidatePatient(BrachyTxs[[#This Row],[Pt]])</f>
        <v>1</v>
      </c>
      <c r="P398" t="b">
        <f>ValidatePhysicists(BrachyTxs[[#This Row],[Physicist(s)]])</f>
        <v>1</v>
      </c>
      <c r="Q398" t="b">
        <f>ValidateMDs(BrachyTxs[[#This Row],[MD(s)]])</f>
        <v>1</v>
      </c>
      <c r="S398" s="3"/>
    </row>
    <row r="399" spans="1:19" x14ac:dyDescent="0.25">
      <c r="A399" t="s">
        <v>323</v>
      </c>
      <c r="B399" s="1">
        <v>43159</v>
      </c>
      <c r="C399" s="2" t="s">
        <v>226</v>
      </c>
      <c r="D399" s="3"/>
      <c r="E399" s="3"/>
      <c r="F399">
        <f>IF(ISNUMBER(SEARCH("BB",BrachyTxs[[#This Row],[Physicist(s)]])),1,0)</f>
        <v>0</v>
      </c>
      <c r="G399" s="3">
        <f>IF(ISNUMBER(SEARCH("DZ",BrachyTxs[[#This Row],[Physicist(s)]])),1,0)</f>
        <v>0</v>
      </c>
      <c r="H399" s="3">
        <f>IF(ISNUMBER(SEARCH("ZC",BrachyTxs[[#This Row],[Physicist(s)]])),1,0)</f>
        <v>0</v>
      </c>
      <c r="I399" s="3">
        <f>IF(ISNUMBER(SEARCH("DJ",BrachyTxs[[#This Row],[MD(s)]])),1,0)</f>
        <v>0</v>
      </c>
      <c r="J399" s="3">
        <f>IF(ISNUMBER(SEARCH("JS",BrachyTxs[[#This Row],[MD(s)]])),1,0)</f>
        <v>0</v>
      </c>
      <c r="K399" s="3"/>
      <c r="L399" s="3"/>
      <c r="M399" s="3"/>
      <c r="N399" s="3"/>
      <c r="O399" t="b">
        <f>ValidatePatient(BrachyTxs[[#This Row],[Pt]])</f>
        <v>1</v>
      </c>
      <c r="P399" t="b">
        <f>ValidatePhysicists(BrachyTxs[[#This Row],[Physicist(s)]])</f>
        <v>1</v>
      </c>
      <c r="Q399" t="b">
        <f>ValidateMDs(BrachyTxs[[#This Row],[MD(s)]])</f>
        <v>1</v>
      </c>
      <c r="S399" s="3"/>
    </row>
    <row r="400" spans="1:19" x14ac:dyDescent="0.25">
      <c r="A400" t="s">
        <v>326</v>
      </c>
      <c r="B400" s="1">
        <v>43164</v>
      </c>
      <c r="C400" s="2" t="s">
        <v>13</v>
      </c>
      <c r="D400" s="3"/>
      <c r="E400" s="3"/>
      <c r="F400">
        <f>IF(ISNUMBER(SEARCH("BB",BrachyTxs[[#This Row],[Physicist(s)]])),1,0)</f>
        <v>0</v>
      </c>
      <c r="G400" s="3">
        <f>IF(ISNUMBER(SEARCH("DZ",BrachyTxs[[#This Row],[Physicist(s)]])),1,0)</f>
        <v>0</v>
      </c>
      <c r="H400" s="3">
        <f>IF(ISNUMBER(SEARCH("ZC",BrachyTxs[[#This Row],[Physicist(s)]])),1,0)</f>
        <v>0</v>
      </c>
      <c r="I400" s="3">
        <f>IF(ISNUMBER(SEARCH("DJ",BrachyTxs[[#This Row],[MD(s)]])),1,0)</f>
        <v>0</v>
      </c>
      <c r="J400" s="3">
        <f>IF(ISNUMBER(SEARCH("JS",BrachyTxs[[#This Row],[MD(s)]])),1,0)</f>
        <v>0</v>
      </c>
      <c r="K400" s="3"/>
      <c r="L400" s="3"/>
      <c r="M400" s="3"/>
      <c r="N400" s="3"/>
      <c r="O400" t="b">
        <f>ValidatePatient(BrachyTxs[[#This Row],[Pt]])</f>
        <v>1</v>
      </c>
      <c r="P400" t="b">
        <f>ValidatePhysicists(BrachyTxs[[#This Row],[Physicist(s)]])</f>
        <v>1</v>
      </c>
      <c r="Q400" t="b">
        <f>ValidateMDs(BrachyTxs[[#This Row],[MD(s)]])</f>
        <v>1</v>
      </c>
      <c r="S400" s="3"/>
    </row>
    <row r="401" spans="1:19" x14ac:dyDescent="0.25">
      <c r="A401" t="s">
        <v>324</v>
      </c>
      <c r="B401" s="1">
        <v>43165</v>
      </c>
      <c r="C401" s="2" t="s">
        <v>97</v>
      </c>
      <c r="D401" s="3"/>
      <c r="E401" s="3"/>
      <c r="F401">
        <f>IF(ISNUMBER(SEARCH("BB",BrachyTxs[[#This Row],[Physicist(s)]])),1,0)</f>
        <v>0</v>
      </c>
      <c r="G401" s="3">
        <f>IF(ISNUMBER(SEARCH("DZ",BrachyTxs[[#This Row],[Physicist(s)]])),1,0)</f>
        <v>0</v>
      </c>
      <c r="H401" s="3">
        <f>IF(ISNUMBER(SEARCH("ZC",BrachyTxs[[#This Row],[Physicist(s)]])),1,0)</f>
        <v>0</v>
      </c>
      <c r="I401" s="3">
        <f>IF(ISNUMBER(SEARCH("DJ",BrachyTxs[[#This Row],[MD(s)]])),1,0)</f>
        <v>0</v>
      </c>
      <c r="J401" s="3">
        <f>IF(ISNUMBER(SEARCH("JS",BrachyTxs[[#This Row],[MD(s)]])),1,0)</f>
        <v>0</v>
      </c>
      <c r="K401" s="3"/>
      <c r="L401" s="3"/>
      <c r="M401" s="3"/>
      <c r="N401" s="3"/>
      <c r="O401" t="b">
        <f>ValidatePatient(BrachyTxs[[#This Row],[Pt]])</f>
        <v>1</v>
      </c>
      <c r="P401" t="b">
        <f>ValidatePhysicists(BrachyTxs[[#This Row],[Physicist(s)]])</f>
        <v>1</v>
      </c>
      <c r="Q401" t="b">
        <f>ValidateMDs(BrachyTxs[[#This Row],[MD(s)]])</f>
        <v>1</v>
      </c>
      <c r="S401" s="3"/>
    </row>
    <row r="402" spans="1:19" x14ac:dyDescent="0.25">
      <c r="A402" t="s">
        <v>323</v>
      </c>
      <c r="B402" s="1">
        <v>43167</v>
      </c>
      <c r="C402" s="2" t="s">
        <v>267</v>
      </c>
      <c r="D402" s="3"/>
      <c r="E402" s="3"/>
      <c r="F402">
        <f>IF(ISNUMBER(SEARCH("BB",BrachyTxs[[#This Row],[Physicist(s)]])),1,0)</f>
        <v>0</v>
      </c>
      <c r="G402" s="3">
        <f>IF(ISNUMBER(SEARCH("DZ",BrachyTxs[[#This Row],[Physicist(s)]])),1,0)</f>
        <v>0</v>
      </c>
      <c r="H402" s="3">
        <f>IF(ISNUMBER(SEARCH("ZC",BrachyTxs[[#This Row],[Physicist(s)]])),1,0)</f>
        <v>0</v>
      </c>
      <c r="I402" s="3">
        <f>IF(ISNUMBER(SEARCH("DJ",BrachyTxs[[#This Row],[MD(s)]])),1,0)</f>
        <v>0</v>
      </c>
      <c r="J402" s="3">
        <f>IF(ISNUMBER(SEARCH("JS",BrachyTxs[[#This Row],[MD(s)]])),1,0)</f>
        <v>0</v>
      </c>
      <c r="K402" s="3"/>
      <c r="L402" s="3"/>
      <c r="M402" s="3"/>
      <c r="N402" s="3"/>
      <c r="O402" t="b">
        <f>ValidatePatient(BrachyTxs[[#This Row],[Pt]])</f>
        <v>1</v>
      </c>
      <c r="P402" t="b">
        <f>ValidatePhysicists(BrachyTxs[[#This Row],[Physicist(s)]])</f>
        <v>1</v>
      </c>
      <c r="Q402" t="b">
        <f>ValidateMDs(BrachyTxs[[#This Row],[MD(s)]])</f>
        <v>1</v>
      </c>
      <c r="S402" s="3"/>
    </row>
    <row r="403" spans="1:19" x14ac:dyDescent="0.25">
      <c r="A403" t="s">
        <v>324</v>
      </c>
      <c r="B403" s="1">
        <v>43175</v>
      </c>
      <c r="C403" s="2" t="s">
        <v>97</v>
      </c>
      <c r="D403" s="3"/>
      <c r="E403" s="3" t="s">
        <v>336</v>
      </c>
      <c r="F403">
        <f>IF(ISNUMBER(SEARCH("BB",BrachyTxs[[#This Row],[Physicist(s)]])),1,0)</f>
        <v>0</v>
      </c>
      <c r="G403" s="3">
        <f>IF(ISNUMBER(SEARCH("DZ",BrachyTxs[[#This Row],[Physicist(s)]])),1,0)</f>
        <v>0</v>
      </c>
      <c r="H403" s="3">
        <f>IF(ISNUMBER(SEARCH("ZC",BrachyTxs[[#This Row],[Physicist(s)]])),1,0)</f>
        <v>0</v>
      </c>
      <c r="I403" s="3">
        <f>IF(ISNUMBER(SEARCH("DJ",BrachyTxs[[#This Row],[MD(s)]])),1,0)</f>
        <v>0</v>
      </c>
      <c r="J403" s="3">
        <f>IF(ISNUMBER(SEARCH("JS",BrachyTxs[[#This Row],[MD(s)]])),1,0)</f>
        <v>1</v>
      </c>
      <c r="K403" s="3"/>
      <c r="L403" s="3"/>
      <c r="M403" s="3"/>
      <c r="N403" s="3"/>
      <c r="O403" t="b">
        <f>ValidatePatient(BrachyTxs[[#This Row],[Pt]])</f>
        <v>1</v>
      </c>
      <c r="P403" t="b">
        <f>ValidatePhysicists(BrachyTxs[[#This Row],[Physicist(s)]])</f>
        <v>1</v>
      </c>
      <c r="Q403" t="b">
        <f>ValidateMDs(BrachyTxs[[#This Row],[MD(s)]])</f>
        <v>0</v>
      </c>
      <c r="S403" s="3"/>
    </row>
    <row r="404" spans="1:19" x14ac:dyDescent="0.25">
      <c r="A404" t="s">
        <v>323</v>
      </c>
      <c r="B404" s="1">
        <v>43186</v>
      </c>
      <c r="C404" s="2" t="s">
        <v>43</v>
      </c>
      <c r="D404" s="3"/>
      <c r="E404" s="3"/>
      <c r="F404">
        <f>IF(ISNUMBER(SEARCH("BB",BrachyTxs[[#This Row],[Physicist(s)]])),1,0)</f>
        <v>0</v>
      </c>
      <c r="G404" s="3">
        <f>IF(ISNUMBER(SEARCH("DZ",BrachyTxs[[#This Row],[Physicist(s)]])),1,0)</f>
        <v>0</v>
      </c>
      <c r="H404" s="3">
        <f>IF(ISNUMBER(SEARCH("ZC",BrachyTxs[[#This Row],[Physicist(s)]])),1,0)</f>
        <v>0</v>
      </c>
      <c r="I404" s="3">
        <f>IF(ISNUMBER(SEARCH("DJ",BrachyTxs[[#This Row],[MD(s)]])),1,0)</f>
        <v>0</v>
      </c>
      <c r="J404" s="3">
        <f>IF(ISNUMBER(SEARCH("JS",BrachyTxs[[#This Row],[MD(s)]])),1,0)</f>
        <v>0</v>
      </c>
      <c r="K404" s="3"/>
      <c r="L404" s="3"/>
      <c r="M404" s="3"/>
      <c r="N404" s="3"/>
      <c r="O404" t="b">
        <f>ValidatePatient(BrachyTxs[[#This Row],[Pt]])</f>
        <v>1</v>
      </c>
      <c r="P404" t="b">
        <f>ValidatePhysicists(BrachyTxs[[#This Row],[Physicist(s)]])</f>
        <v>1</v>
      </c>
      <c r="Q404" t="b">
        <f>ValidateMDs(BrachyTxs[[#This Row],[MD(s)]])</f>
        <v>1</v>
      </c>
      <c r="S404" s="3"/>
    </row>
    <row r="405" spans="1:19" x14ac:dyDescent="0.25">
      <c r="A405" t="s">
        <v>324</v>
      </c>
      <c r="B405" s="1">
        <v>43194</v>
      </c>
      <c r="C405" s="2" t="s">
        <v>136</v>
      </c>
      <c r="D405" s="3"/>
      <c r="E405" s="3"/>
      <c r="F405">
        <f>IF(ISNUMBER(SEARCH("BB",BrachyTxs[[#This Row],[Physicist(s)]])),1,0)</f>
        <v>0</v>
      </c>
      <c r="G405" s="3">
        <f>IF(ISNUMBER(SEARCH("DZ",BrachyTxs[[#This Row],[Physicist(s)]])),1,0)</f>
        <v>0</v>
      </c>
      <c r="H405" s="3">
        <f>IF(ISNUMBER(SEARCH("ZC",BrachyTxs[[#This Row],[Physicist(s)]])),1,0)</f>
        <v>0</v>
      </c>
      <c r="I405" s="3">
        <f>IF(ISNUMBER(SEARCH("DJ",BrachyTxs[[#This Row],[MD(s)]])),1,0)</f>
        <v>0</v>
      </c>
      <c r="J405" s="3">
        <f>IF(ISNUMBER(SEARCH("JS",BrachyTxs[[#This Row],[MD(s)]])),1,0)</f>
        <v>0</v>
      </c>
      <c r="K405" s="3"/>
      <c r="L405" s="3"/>
      <c r="M405" s="3"/>
      <c r="N405" s="3"/>
      <c r="O405" t="b">
        <f>ValidatePatient(BrachyTxs[[#This Row],[Pt]])</f>
        <v>1</v>
      </c>
      <c r="P405" t="b">
        <f>ValidatePhysicists(BrachyTxs[[#This Row],[Physicist(s)]])</f>
        <v>1</v>
      </c>
      <c r="Q405" t="b">
        <f>ValidateMDs(BrachyTxs[[#This Row],[MD(s)]])</f>
        <v>1</v>
      </c>
      <c r="S405" s="3"/>
    </row>
    <row r="406" spans="1:19" x14ac:dyDescent="0.25">
      <c r="A406" t="s">
        <v>323</v>
      </c>
      <c r="B406" s="1">
        <v>43199</v>
      </c>
      <c r="C406" s="2" t="s">
        <v>301</v>
      </c>
      <c r="D406" s="3"/>
      <c r="E406" s="3"/>
      <c r="F406">
        <f>IF(ISNUMBER(SEARCH("BB",BrachyTxs[[#This Row],[Physicist(s)]])),1,0)</f>
        <v>0</v>
      </c>
      <c r="G406" s="3">
        <f>IF(ISNUMBER(SEARCH("DZ",BrachyTxs[[#This Row],[Physicist(s)]])),1,0)</f>
        <v>0</v>
      </c>
      <c r="H406" s="3">
        <f>IF(ISNUMBER(SEARCH("ZC",BrachyTxs[[#This Row],[Physicist(s)]])),1,0)</f>
        <v>0</v>
      </c>
      <c r="I406" s="3">
        <f>IF(ISNUMBER(SEARCH("DJ",BrachyTxs[[#This Row],[MD(s)]])),1,0)</f>
        <v>0</v>
      </c>
      <c r="J406" s="3">
        <f>IF(ISNUMBER(SEARCH("JS",BrachyTxs[[#This Row],[MD(s)]])),1,0)</f>
        <v>0</v>
      </c>
      <c r="K406" s="3"/>
      <c r="L406" s="3"/>
      <c r="M406" s="3"/>
      <c r="N406" s="3"/>
      <c r="O406" t="b">
        <f>ValidatePatient(BrachyTxs[[#This Row],[Pt]])</f>
        <v>1</v>
      </c>
      <c r="P406" t="b">
        <f>ValidatePhysicists(BrachyTxs[[#This Row],[Physicist(s)]])</f>
        <v>1</v>
      </c>
      <c r="Q406" t="b">
        <f>ValidateMDs(BrachyTxs[[#This Row],[MD(s)]])</f>
        <v>1</v>
      </c>
      <c r="S406" s="3"/>
    </row>
    <row r="407" spans="1:19" x14ac:dyDescent="0.25">
      <c r="A407" t="s">
        <v>326</v>
      </c>
      <c r="B407" s="1">
        <v>43206</v>
      </c>
      <c r="C407" s="2" t="s">
        <v>13</v>
      </c>
      <c r="D407" s="3"/>
      <c r="E407" s="3"/>
      <c r="F407">
        <f>IF(ISNUMBER(SEARCH("BB",BrachyTxs[[#This Row],[Physicist(s)]])),1,0)</f>
        <v>0</v>
      </c>
      <c r="G407" s="3">
        <f>IF(ISNUMBER(SEARCH("DZ",BrachyTxs[[#This Row],[Physicist(s)]])),1,0)</f>
        <v>0</v>
      </c>
      <c r="H407" s="3">
        <f>IF(ISNUMBER(SEARCH("ZC",BrachyTxs[[#This Row],[Physicist(s)]])),1,0)</f>
        <v>0</v>
      </c>
      <c r="I407" s="3">
        <f>IF(ISNUMBER(SEARCH("DJ",BrachyTxs[[#This Row],[MD(s)]])),1,0)</f>
        <v>0</v>
      </c>
      <c r="J407" s="3">
        <f>IF(ISNUMBER(SEARCH("JS",BrachyTxs[[#This Row],[MD(s)]])),1,0)</f>
        <v>0</v>
      </c>
      <c r="K407" s="3"/>
      <c r="L407" s="3"/>
      <c r="M407" s="3"/>
      <c r="N407" s="3"/>
      <c r="O407" t="b">
        <f>ValidatePatient(BrachyTxs[[#This Row],[Pt]])</f>
        <v>1</v>
      </c>
      <c r="P407" t="b">
        <f>ValidatePhysicists(BrachyTxs[[#This Row],[Physicist(s)]])</f>
        <v>1</v>
      </c>
      <c r="Q407" t="b">
        <f>ValidateMDs(BrachyTxs[[#This Row],[MD(s)]])</f>
        <v>1</v>
      </c>
      <c r="S407" s="3"/>
    </row>
    <row r="408" spans="1:19" x14ac:dyDescent="0.25">
      <c r="A408" t="s">
        <v>326</v>
      </c>
      <c r="B408" s="1">
        <v>43234</v>
      </c>
      <c r="C408" s="2" t="s">
        <v>13</v>
      </c>
      <c r="D408" s="3"/>
      <c r="E408" s="3"/>
      <c r="F408">
        <f>IF(ISNUMBER(SEARCH("BB",BrachyTxs[[#This Row],[Physicist(s)]])),1,0)</f>
        <v>0</v>
      </c>
      <c r="G408" s="3">
        <f>IF(ISNUMBER(SEARCH("DZ",BrachyTxs[[#This Row],[Physicist(s)]])),1,0)</f>
        <v>0</v>
      </c>
      <c r="H408" s="3">
        <f>IF(ISNUMBER(SEARCH("ZC",BrachyTxs[[#This Row],[Physicist(s)]])),1,0)</f>
        <v>0</v>
      </c>
      <c r="I408" s="3">
        <f>IF(ISNUMBER(SEARCH("DJ",BrachyTxs[[#This Row],[MD(s)]])),1,0)</f>
        <v>0</v>
      </c>
      <c r="J408" s="3">
        <f>IF(ISNUMBER(SEARCH("JS",BrachyTxs[[#This Row],[MD(s)]])),1,0)</f>
        <v>0</v>
      </c>
      <c r="K408" s="3"/>
      <c r="L408" s="3"/>
      <c r="M408" s="3"/>
      <c r="N408" s="3"/>
      <c r="O408" t="b">
        <f>ValidatePatient(BrachyTxs[[#This Row],[Pt]])</f>
        <v>1</v>
      </c>
      <c r="P408" t="b">
        <f>ValidatePhysicists(BrachyTxs[[#This Row],[Physicist(s)]])</f>
        <v>1</v>
      </c>
      <c r="Q408" t="b">
        <f>ValidateMDs(BrachyTxs[[#This Row],[MD(s)]])</f>
        <v>1</v>
      </c>
      <c r="S408" s="3"/>
    </row>
    <row r="409" spans="1:19" x14ac:dyDescent="0.25">
      <c r="A409" t="s">
        <v>325</v>
      </c>
      <c r="B409" s="1">
        <v>43245</v>
      </c>
      <c r="C409" s="2" t="s">
        <v>66</v>
      </c>
      <c r="D409" s="3"/>
      <c r="E409" s="3"/>
      <c r="F409">
        <f>IF(ISNUMBER(SEARCH("BB",BrachyTxs[[#This Row],[Physicist(s)]])),1,0)</f>
        <v>0</v>
      </c>
      <c r="G409" s="3">
        <f>IF(ISNUMBER(SEARCH("DZ",BrachyTxs[[#This Row],[Physicist(s)]])),1,0)</f>
        <v>0</v>
      </c>
      <c r="H409" s="3">
        <f>IF(ISNUMBER(SEARCH("ZC",BrachyTxs[[#This Row],[Physicist(s)]])),1,0)</f>
        <v>0</v>
      </c>
      <c r="I409" s="3">
        <f>IF(ISNUMBER(SEARCH("DJ",BrachyTxs[[#This Row],[MD(s)]])),1,0)</f>
        <v>0</v>
      </c>
      <c r="J409" s="3">
        <f>IF(ISNUMBER(SEARCH("JS",BrachyTxs[[#This Row],[MD(s)]])),1,0)</f>
        <v>0</v>
      </c>
      <c r="K409" s="3"/>
      <c r="L409" s="3"/>
      <c r="M409" s="3"/>
      <c r="N409" s="3"/>
      <c r="O409" t="b">
        <f>ValidatePatient(BrachyTxs[[#This Row],[Pt]])</f>
        <v>1</v>
      </c>
      <c r="P409" t="b">
        <f>ValidatePhysicists(BrachyTxs[[#This Row],[Physicist(s)]])</f>
        <v>1</v>
      </c>
      <c r="Q409" t="b">
        <f>ValidateMDs(BrachyTxs[[#This Row],[MD(s)]])</f>
        <v>1</v>
      </c>
      <c r="S409" s="3"/>
    </row>
    <row r="410" spans="1:19" x14ac:dyDescent="0.25">
      <c r="A410" t="s">
        <v>326</v>
      </c>
      <c r="B410" s="1">
        <v>43265</v>
      </c>
      <c r="C410" s="2" t="s">
        <v>13</v>
      </c>
      <c r="D410" s="3"/>
      <c r="E410" s="3"/>
      <c r="F410">
        <f>IF(ISNUMBER(SEARCH("BB",BrachyTxs[[#This Row],[Physicist(s)]])),1,0)</f>
        <v>0</v>
      </c>
      <c r="G410" s="3">
        <f>IF(ISNUMBER(SEARCH("DZ",BrachyTxs[[#This Row],[Physicist(s)]])),1,0)</f>
        <v>0</v>
      </c>
      <c r="H410" s="3">
        <f>IF(ISNUMBER(SEARCH("ZC",BrachyTxs[[#This Row],[Physicist(s)]])),1,0)</f>
        <v>0</v>
      </c>
      <c r="I410" s="3">
        <f>IF(ISNUMBER(SEARCH("DJ",BrachyTxs[[#This Row],[MD(s)]])),1,0)</f>
        <v>0</v>
      </c>
      <c r="J410" s="3">
        <f>IF(ISNUMBER(SEARCH("JS",BrachyTxs[[#This Row],[MD(s)]])),1,0)</f>
        <v>0</v>
      </c>
      <c r="K410" s="3"/>
      <c r="L410" s="3"/>
      <c r="M410" s="3"/>
      <c r="N410" s="3"/>
      <c r="O410" t="b">
        <f>ValidatePatient(BrachyTxs[[#This Row],[Pt]])</f>
        <v>1</v>
      </c>
      <c r="P410" t="b">
        <f>ValidatePhysicists(BrachyTxs[[#This Row],[Physicist(s)]])</f>
        <v>1</v>
      </c>
      <c r="Q410" t="b">
        <f>ValidateMDs(BrachyTxs[[#This Row],[MD(s)]])</f>
        <v>1</v>
      </c>
      <c r="S410" s="3"/>
    </row>
    <row r="411" spans="1:19" x14ac:dyDescent="0.25">
      <c r="A411" t="s">
        <v>324</v>
      </c>
      <c r="B411" s="1">
        <v>43329</v>
      </c>
      <c r="C411" s="2" t="s">
        <v>247</v>
      </c>
      <c r="D411" s="3"/>
      <c r="E411" s="3"/>
      <c r="F411">
        <f>IF(ISNUMBER(SEARCH("BB",BrachyTxs[[#This Row],[Physicist(s)]])),1,0)</f>
        <v>0</v>
      </c>
      <c r="G411" s="3">
        <f>IF(ISNUMBER(SEARCH("DZ",BrachyTxs[[#This Row],[Physicist(s)]])),1,0)</f>
        <v>0</v>
      </c>
      <c r="H411" s="3">
        <f>IF(ISNUMBER(SEARCH("ZC",BrachyTxs[[#This Row],[Physicist(s)]])),1,0)</f>
        <v>0</v>
      </c>
      <c r="I411" s="3">
        <f>IF(ISNUMBER(SEARCH("DJ",BrachyTxs[[#This Row],[MD(s)]])),1,0)</f>
        <v>0</v>
      </c>
      <c r="J411" s="3">
        <f>IF(ISNUMBER(SEARCH("JS",BrachyTxs[[#This Row],[MD(s)]])),1,0)</f>
        <v>0</v>
      </c>
      <c r="K411" s="3"/>
      <c r="L411" s="3"/>
      <c r="M411" s="3"/>
      <c r="N411" s="3"/>
      <c r="O411" t="b">
        <f>ValidatePatient(BrachyTxs[[#This Row],[Pt]])</f>
        <v>1</v>
      </c>
      <c r="P411" t="b">
        <f>ValidatePhysicists(BrachyTxs[[#This Row],[Physicist(s)]])</f>
        <v>1</v>
      </c>
      <c r="Q411" t="b">
        <f>ValidateMDs(BrachyTxs[[#This Row],[MD(s)]])</f>
        <v>1</v>
      </c>
      <c r="S411" s="3"/>
    </row>
    <row r="412" spans="1:19" x14ac:dyDescent="0.25">
      <c r="A412" t="s">
        <v>326</v>
      </c>
      <c r="B412" s="1">
        <v>43335</v>
      </c>
      <c r="C412" s="2" t="s">
        <v>257</v>
      </c>
      <c r="D412" s="3"/>
      <c r="E412" s="3"/>
      <c r="F412">
        <f>IF(ISNUMBER(SEARCH("BB",BrachyTxs[[#This Row],[Physicist(s)]])),1,0)</f>
        <v>0</v>
      </c>
      <c r="G412" s="3">
        <f>IF(ISNUMBER(SEARCH("DZ",BrachyTxs[[#This Row],[Physicist(s)]])),1,0)</f>
        <v>0</v>
      </c>
      <c r="H412" s="3">
        <f>IF(ISNUMBER(SEARCH("ZC",BrachyTxs[[#This Row],[Physicist(s)]])),1,0)</f>
        <v>0</v>
      </c>
      <c r="I412" s="3">
        <f>IF(ISNUMBER(SEARCH("DJ",BrachyTxs[[#This Row],[MD(s)]])),1,0)</f>
        <v>0</v>
      </c>
      <c r="J412" s="3">
        <f>IF(ISNUMBER(SEARCH("JS",BrachyTxs[[#This Row],[MD(s)]])),1,0)</f>
        <v>0</v>
      </c>
      <c r="K412" s="3"/>
      <c r="L412" s="3"/>
      <c r="M412" s="3"/>
      <c r="N412" s="3"/>
      <c r="O412" t="b">
        <f>ValidatePatient(BrachyTxs[[#This Row],[Pt]])</f>
        <v>1</v>
      </c>
      <c r="P412" t="b">
        <f>ValidatePhysicists(BrachyTxs[[#This Row],[Physicist(s)]])</f>
        <v>1</v>
      </c>
      <c r="Q412" t="b">
        <f>ValidateMDs(BrachyTxs[[#This Row],[MD(s)]])</f>
        <v>1</v>
      </c>
      <c r="S412" s="3"/>
    </row>
    <row r="413" spans="1:19" x14ac:dyDescent="0.25">
      <c r="A413" t="s">
        <v>323</v>
      </c>
      <c r="B413" s="1">
        <v>43335</v>
      </c>
      <c r="C413" s="2" t="s">
        <v>259</v>
      </c>
      <c r="D413" s="3"/>
      <c r="E413" s="3"/>
      <c r="F413">
        <f>IF(ISNUMBER(SEARCH("BB",BrachyTxs[[#This Row],[Physicist(s)]])),1,0)</f>
        <v>0</v>
      </c>
      <c r="G413" s="3">
        <f>IF(ISNUMBER(SEARCH("DZ",BrachyTxs[[#This Row],[Physicist(s)]])),1,0)</f>
        <v>0</v>
      </c>
      <c r="H413" s="3">
        <f>IF(ISNUMBER(SEARCH("ZC",BrachyTxs[[#This Row],[Physicist(s)]])),1,0)</f>
        <v>0</v>
      </c>
      <c r="I413" s="3">
        <f>IF(ISNUMBER(SEARCH("DJ",BrachyTxs[[#This Row],[MD(s)]])),1,0)</f>
        <v>0</v>
      </c>
      <c r="J413" s="3">
        <f>IF(ISNUMBER(SEARCH("JS",BrachyTxs[[#This Row],[MD(s)]])),1,0)</f>
        <v>0</v>
      </c>
      <c r="K413" s="3"/>
      <c r="L413" s="3"/>
      <c r="M413" s="3"/>
      <c r="N413" s="3"/>
      <c r="O413" t="b">
        <f>ValidatePatient(BrachyTxs[[#This Row],[Pt]])</f>
        <v>1</v>
      </c>
      <c r="P413" t="b">
        <f>ValidatePhysicists(BrachyTxs[[#This Row],[Physicist(s)]])</f>
        <v>1</v>
      </c>
      <c r="Q413" t="b">
        <f>ValidateMDs(BrachyTxs[[#This Row],[MD(s)]])</f>
        <v>1</v>
      </c>
      <c r="S413" s="3"/>
    </row>
    <row r="414" spans="1:19" x14ac:dyDescent="0.25">
      <c r="A414" t="s">
        <v>326</v>
      </c>
      <c r="B414" s="1">
        <v>43363</v>
      </c>
      <c r="C414" s="2" t="s">
        <v>257</v>
      </c>
      <c r="D414" s="3"/>
      <c r="E414" s="3"/>
      <c r="F414">
        <f>IF(ISNUMBER(SEARCH("BB",BrachyTxs[[#This Row],[Physicist(s)]])),1,0)</f>
        <v>0</v>
      </c>
      <c r="G414" s="3">
        <f>IF(ISNUMBER(SEARCH("DZ",BrachyTxs[[#This Row],[Physicist(s)]])),1,0)</f>
        <v>0</v>
      </c>
      <c r="H414" s="3">
        <f>IF(ISNUMBER(SEARCH("ZC",BrachyTxs[[#This Row],[Physicist(s)]])),1,0)</f>
        <v>0</v>
      </c>
      <c r="I414" s="3">
        <f>IF(ISNUMBER(SEARCH("DJ",BrachyTxs[[#This Row],[MD(s)]])),1,0)</f>
        <v>0</v>
      </c>
      <c r="J414" s="3">
        <f>IF(ISNUMBER(SEARCH("JS",BrachyTxs[[#This Row],[MD(s)]])),1,0)</f>
        <v>0</v>
      </c>
      <c r="K414" s="3"/>
      <c r="L414" s="3"/>
      <c r="M414" s="3"/>
      <c r="N414" s="3"/>
      <c r="O414" t="b">
        <f>ValidatePatient(BrachyTxs[[#This Row],[Pt]])</f>
        <v>1</v>
      </c>
      <c r="P414" t="b">
        <f>ValidatePhysicists(BrachyTxs[[#This Row],[Physicist(s)]])</f>
        <v>1</v>
      </c>
      <c r="Q414" t="b">
        <f>ValidateMDs(BrachyTxs[[#This Row],[MD(s)]])</f>
        <v>1</v>
      </c>
      <c r="S414" s="3"/>
    </row>
    <row r="415" spans="1:19" x14ac:dyDescent="0.25">
      <c r="A415" t="s">
        <v>323</v>
      </c>
      <c r="B415" s="1">
        <v>43382</v>
      </c>
      <c r="C415" s="2" t="s">
        <v>310</v>
      </c>
      <c r="D415" s="3"/>
      <c r="E415" s="3"/>
      <c r="F415">
        <f>IF(ISNUMBER(SEARCH("BB",BrachyTxs[[#This Row],[Physicist(s)]])),1,0)</f>
        <v>0</v>
      </c>
      <c r="G415" s="3">
        <f>IF(ISNUMBER(SEARCH("DZ",BrachyTxs[[#This Row],[Physicist(s)]])),1,0)</f>
        <v>0</v>
      </c>
      <c r="H415" s="3">
        <f>IF(ISNUMBER(SEARCH("ZC",BrachyTxs[[#This Row],[Physicist(s)]])),1,0)</f>
        <v>0</v>
      </c>
      <c r="I415" s="3">
        <f>IF(ISNUMBER(SEARCH("DJ",BrachyTxs[[#This Row],[MD(s)]])),1,0)</f>
        <v>0</v>
      </c>
      <c r="J415" s="3">
        <f>IF(ISNUMBER(SEARCH("JS",BrachyTxs[[#This Row],[MD(s)]])),1,0)</f>
        <v>0</v>
      </c>
      <c r="K415" s="3"/>
      <c r="L415" s="3"/>
      <c r="M415" s="3"/>
      <c r="N415" s="3"/>
      <c r="O415" t="b">
        <f>ValidatePatient(BrachyTxs[[#This Row],[Pt]])</f>
        <v>1</v>
      </c>
      <c r="P415" t="b">
        <f>ValidatePhysicists(BrachyTxs[[#This Row],[Physicist(s)]])</f>
        <v>1</v>
      </c>
      <c r="Q415" t="b">
        <f>ValidateMDs(BrachyTxs[[#This Row],[MD(s)]])</f>
        <v>1</v>
      </c>
      <c r="S415" s="3"/>
    </row>
    <row r="416" spans="1:19" x14ac:dyDescent="0.25">
      <c r="A416" t="s">
        <v>325</v>
      </c>
      <c r="B416" s="1">
        <v>43385</v>
      </c>
      <c r="C416" s="2" t="s">
        <v>16</v>
      </c>
      <c r="D416" s="3"/>
      <c r="E416" s="3" t="s">
        <v>336</v>
      </c>
      <c r="F416">
        <f>IF(ISNUMBER(SEARCH("BB",BrachyTxs[[#This Row],[Physicist(s)]])),1,0)</f>
        <v>0</v>
      </c>
      <c r="G416" s="3">
        <f>IF(ISNUMBER(SEARCH("DZ",BrachyTxs[[#This Row],[Physicist(s)]])),1,0)</f>
        <v>0</v>
      </c>
      <c r="H416" s="3">
        <f>IF(ISNUMBER(SEARCH("ZC",BrachyTxs[[#This Row],[Physicist(s)]])),1,0)</f>
        <v>0</v>
      </c>
      <c r="I416" s="3">
        <f>IF(ISNUMBER(SEARCH("DJ",BrachyTxs[[#This Row],[MD(s)]])),1,0)</f>
        <v>0</v>
      </c>
      <c r="J416" s="3">
        <f>IF(ISNUMBER(SEARCH("JS",BrachyTxs[[#This Row],[MD(s)]])),1,0)</f>
        <v>1</v>
      </c>
      <c r="K416" s="3"/>
      <c r="L416" s="3"/>
      <c r="M416" s="3"/>
      <c r="N416" s="3"/>
      <c r="O416" t="b">
        <f>ValidatePatient(BrachyTxs[[#This Row],[Pt]])</f>
        <v>1</v>
      </c>
      <c r="P416" t="b">
        <f>ValidatePhysicists(BrachyTxs[[#This Row],[Physicist(s)]])</f>
        <v>1</v>
      </c>
      <c r="Q416" t="b">
        <f>ValidateMDs(BrachyTxs[[#This Row],[MD(s)]])</f>
        <v>0</v>
      </c>
      <c r="S416" s="3"/>
    </row>
    <row r="417" spans="1:19" x14ac:dyDescent="0.25">
      <c r="A417" t="s">
        <v>326</v>
      </c>
      <c r="B417" s="1">
        <v>43391</v>
      </c>
      <c r="C417" s="2" t="s">
        <v>257</v>
      </c>
      <c r="D417" s="3"/>
      <c r="E417" s="3"/>
      <c r="F417">
        <f>IF(ISNUMBER(SEARCH("BB",BrachyTxs[[#This Row],[Physicist(s)]])),1,0)</f>
        <v>0</v>
      </c>
      <c r="G417" s="3">
        <f>IF(ISNUMBER(SEARCH("DZ",BrachyTxs[[#This Row],[Physicist(s)]])),1,0)</f>
        <v>0</v>
      </c>
      <c r="H417" s="3">
        <f>IF(ISNUMBER(SEARCH("ZC",BrachyTxs[[#This Row],[Physicist(s)]])),1,0)</f>
        <v>0</v>
      </c>
      <c r="I417" s="3">
        <f>IF(ISNUMBER(SEARCH("DJ",BrachyTxs[[#This Row],[MD(s)]])),1,0)</f>
        <v>0</v>
      </c>
      <c r="J417" s="3">
        <f>IF(ISNUMBER(SEARCH("JS",BrachyTxs[[#This Row],[MD(s)]])),1,0)</f>
        <v>0</v>
      </c>
      <c r="K417" s="3"/>
      <c r="L417" s="3"/>
      <c r="M417" s="3"/>
      <c r="N417" s="3"/>
      <c r="O417" t="b">
        <f>ValidatePatient(BrachyTxs[[#This Row],[Pt]])</f>
        <v>1</v>
      </c>
      <c r="P417" t="b">
        <f>ValidatePhysicists(BrachyTxs[[#This Row],[Physicist(s)]])</f>
        <v>1</v>
      </c>
      <c r="Q417" t="b">
        <f>ValidateMDs(BrachyTxs[[#This Row],[MD(s)]])</f>
        <v>1</v>
      </c>
      <c r="S417" s="3"/>
    </row>
    <row r="418" spans="1:19" x14ac:dyDescent="0.25">
      <c r="A418" t="s">
        <v>323</v>
      </c>
      <c r="B418" s="1">
        <v>43405</v>
      </c>
      <c r="C418" s="2" t="s">
        <v>42</v>
      </c>
      <c r="D418" s="3"/>
      <c r="E418" s="3"/>
      <c r="F418">
        <f>IF(ISNUMBER(SEARCH("BB",BrachyTxs[[#This Row],[Physicist(s)]])),1,0)</f>
        <v>0</v>
      </c>
      <c r="G418" s="3">
        <f>IF(ISNUMBER(SEARCH("DZ",BrachyTxs[[#This Row],[Physicist(s)]])),1,0)</f>
        <v>0</v>
      </c>
      <c r="H418" s="3">
        <f>IF(ISNUMBER(SEARCH("ZC",BrachyTxs[[#This Row],[Physicist(s)]])),1,0)</f>
        <v>0</v>
      </c>
      <c r="I418" s="3">
        <f>IF(ISNUMBER(SEARCH("DJ",BrachyTxs[[#This Row],[MD(s)]])),1,0)</f>
        <v>0</v>
      </c>
      <c r="J418" s="3">
        <f>IF(ISNUMBER(SEARCH("JS",BrachyTxs[[#This Row],[MD(s)]])),1,0)</f>
        <v>0</v>
      </c>
      <c r="K418" s="3"/>
      <c r="L418" s="3"/>
      <c r="M418" s="3"/>
      <c r="N418" s="3"/>
      <c r="O418" t="b">
        <f>ValidatePatient(BrachyTxs[[#This Row],[Pt]])</f>
        <v>1</v>
      </c>
      <c r="P418" t="b">
        <f>ValidatePhysicists(BrachyTxs[[#This Row],[Physicist(s)]])</f>
        <v>1</v>
      </c>
      <c r="Q418" t="b">
        <f>ValidateMDs(BrachyTxs[[#This Row],[MD(s)]])</f>
        <v>1</v>
      </c>
      <c r="S418" s="3"/>
    </row>
    <row r="419" spans="1:19" x14ac:dyDescent="0.25">
      <c r="A419" t="s">
        <v>326</v>
      </c>
      <c r="B419" s="1">
        <v>43419</v>
      </c>
      <c r="C419" s="2" t="s">
        <v>257</v>
      </c>
      <c r="D419" s="3"/>
      <c r="E419" s="3"/>
      <c r="F419">
        <f>IF(ISNUMBER(SEARCH("BB",BrachyTxs[[#This Row],[Physicist(s)]])),1,0)</f>
        <v>0</v>
      </c>
      <c r="G419" s="3">
        <f>IF(ISNUMBER(SEARCH("DZ",BrachyTxs[[#This Row],[Physicist(s)]])),1,0)</f>
        <v>0</v>
      </c>
      <c r="H419" s="3">
        <f>IF(ISNUMBER(SEARCH("ZC",BrachyTxs[[#This Row],[Physicist(s)]])),1,0)</f>
        <v>0</v>
      </c>
      <c r="I419" s="3">
        <f>IF(ISNUMBER(SEARCH("DJ",BrachyTxs[[#This Row],[MD(s)]])),1,0)</f>
        <v>0</v>
      </c>
      <c r="J419" s="3">
        <f>IF(ISNUMBER(SEARCH("JS",BrachyTxs[[#This Row],[MD(s)]])),1,0)</f>
        <v>0</v>
      </c>
      <c r="K419" s="3"/>
      <c r="L419" s="3"/>
      <c r="M419" s="3"/>
      <c r="N419" s="3"/>
      <c r="O419" t="b">
        <f>ValidatePatient(BrachyTxs[[#This Row],[Pt]])</f>
        <v>1</v>
      </c>
      <c r="P419" t="b">
        <f>ValidatePhysicists(BrachyTxs[[#This Row],[Physicist(s)]])</f>
        <v>1</v>
      </c>
      <c r="Q419" t="b">
        <f>ValidateMDs(BrachyTxs[[#This Row],[MD(s)]])</f>
        <v>1</v>
      </c>
      <c r="S419" s="3"/>
    </row>
    <row r="420" spans="1:19" x14ac:dyDescent="0.25">
      <c r="A420" t="s">
        <v>325</v>
      </c>
      <c r="B420" s="1">
        <v>43433</v>
      </c>
      <c r="C420" s="2" t="s">
        <v>266</v>
      </c>
      <c r="D420" s="3"/>
      <c r="E420" s="3"/>
      <c r="F420">
        <f>IF(ISNUMBER(SEARCH("BB",BrachyTxs[[#This Row],[Physicist(s)]])),1,0)</f>
        <v>0</v>
      </c>
      <c r="G420" s="3">
        <f>IF(ISNUMBER(SEARCH("DZ",BrachyTxs[[#This Row],[Physicist(s)]])),1,0)</f>
        <v>0</v>
      </c>
      <c r="H420" s="3">
        <f>IF(ISNUMBER(SEARCH("ZC",BrachyTxs[[#This Row],[Physicist(s)]])),1,0)</f>
        <v>0</v>
      </c>
      <c r="I420" s="3">
        <f>IF(ISNUMBER(SEARCH("DJ",BrachyTxs[[#This Row],[MD(s)]])),1,0)</f>
        <v>0</v>
      </c>
      <c r="J420" s="3">
        <f>IF(ISNUMBER(SEARCH("JS",BrachyTxs[[#This Row],[MD(s)]])),1,0)</f>
        <v>0</v>
      </c>
      <c r="K420" s="3"/>
      <c r="L420" s="3"/>
      <c r="M420" s="3"/>
      <c r="N420" s="3"/>
      <c r="O420" t="b">
        <f>ValidatePatient(BrachyTxs[[#This Row],[Pt]])</f>
        <v>1</v>
      </c>
      <c r="P420" t="b">
        <f>ValidatePhysicists(BrachyTxs[[#This Row],[Physicist(s)]])</f>
        <v>1</v>
      </c>
      <c r="Q420" t="b">
        <f>ValidateMDs(BrachyTxs[[#This Row],[MD(s)]])</f>
        <v>1</v>
      </c>
      <c r="S420" s="3"/>
    </row>
    <row r="421" spans="1:19" x14ac:dyDescent="0.25">
      <c r="A421" t="s">
        <v>326</v>
      </c>
      <c r="B421" s="1">
        <v>43447</v>
      </c>
      <c r="C421" s="2" t="s">
        <v>257</v>
      </c>
      <c r="D421" s="3"/>
      <c r="E421" s="3"/>
      <c r="F421">
        <f>IF(ISNUMBER(SEARCH("BB",BrachyTxs[[#This Row],[Physicist(s)]])),1,0)</f>
        <v>0</v>
      </c>
      <c r="G421" s="3">
        <f>IF(ISNUMBER(SEARCH("DZ",BrachyTxs[[#This Row],[Physicist(s)]])),1,0)</f>
        <v>0</v>
      </c>
      <c r="H421" s="3">
        <f>IF(ISNUMBER(SEARCH("ZC",BrachyTxs[[#This Row],[Physicist(s)]])),1,0)</f>
        <v>0</v>
      </c>
      <c r="I421" s="3">
        <f>IF(ISNUMBER(SEARCH("DJ",BrachyTxs[[#This Row],[MD(s)]])),1,0)</f>
        <v>0</v>
      </c>
      <c r="J421" s="3">
        <f>IF(ISNUMBER(SEARCH("JS",BrachyTxs[[#This Row],[MD(s)]])),1,0)</f>
        <v>0</v>
      </c>
      <c r="K421" s="3"/>
      <c r="L421" s="3"/>
      <c r="M421" s="3"/>
      <c r="N421" s="3"/>
      <c r="O421" t="b">
        <f>ValidatePatient(BrachyTxs[[#This Row],[Pt]])</f>
        <v>1</v>
      </c>
      <c r="P421" t="b">
        <f>ValidatePhysicists(BrachyTxs[[#This Row],[Physicist(s)]])</f>
        <v>1</v>
      </c>
      <c r="Q421" t="b">
        <f>ValidateMDs(BrachyTxs[[#This Row],[MD(s)]])</f>
        <v>1</v>
      </c>
      <c r="S421" s="3"/>
    </row>
    <row r="422" spans="1:19" x14ac:dyDescent="0.25">
      <c r="A422" t="s">
        <v>323</v>
      </c>
      <c r="B422" s="1">
        <v>43454</v>
      </c>
      <c r="C422" s="2" t="s">
        <v>17</v>
      </c>
      <c r="D422" s="3"/>
      <c r="E422" s="3"/>
      <c r="F422">
        <f>IF(ISNUMBER(SEARCH("BB",BrachyTxs[[#This Row],[Physicist(s)]])),1,0)</f>
        <v>0</v>
      </c>
      <c r="G422" s="3">
        <f>IF(ISNUMBER(SEARCH("DZ",BrachyTxs[[#This Row],[Physicist(s)]])),1,0)</f>
        <v>0</v>
      </c>
      <c r="H422" s="3">
        <f>IF(ISNUMBER(SEARCH("ZC",BrachyTxs[[#This Row],[Physicist(s)]])),1,0)</f>
        <v>0</v>
      </c>
      <c r="I422" s="3">
        <f>IF(ISNUMBER(SEARCH("DJ",BrachyTxs[[#This Row],[MD(s)]])),1,0)</f>
        <v>0</v>
      </c>
      <c r="J422" s="3">
        <f>IF(ISNUMBER(SEARCH("JS",BrachyTxs[[#This Row],[MD(s)]])),1,0)</f>
        <v>0</v>
      </c>
      <c r="K422" s="3"/>
      <c r="L422" s="3"/>
      <c r="M422" s="3"/>
      <c r="N422" s="3"/>
      <c r="O422" t="b">
        <f>ValidatePatient(BrachyTxs[[#This Row],[Pt]])</f>
        <v>1</v>
      </c>
      <c r="P422" t="b">
        <f>ValidatePhysicists(BrachyTxs[[#This Row],[Physicist(s)]])</f>
        <v>1</v>
      </c>
      <c r="Q422" t="b">
        <f>ValidateMDs(BrachyTxs[[#This Row],[MD(s)]])</f>
        <v>1</v>
      </c>
      <c r="S422" s="3"/>
    </row>
    <row r="423" spans="1:19" x14ac:dyDescent="0.25">
      <c r="A423" t="s">
        <v>326</v>
      </c>
      <c r="B423" s="1">
        <v>43475</v>
      </c>
      <c r="C423" s="2" t="s">
        <v>257</v>
      </c>
      <c r="D423" s="3"/>
      <c r="E423" s="3"/>
      <c r="F423">
        <f>IF(ISNUMBER(SEARCH("BB",BrachyTxs[[#This Row],[Physicist(s)]])),1,0)</f>
        <v>0</v>
      </c>
      <c r="G423" s="3">
        <f>IF(ISNUMBER(SEARCH("DZ",BrachyTxs[[#This Row],[Physicist(s)]])),1,0)</f>
        <v>0</v>
      </c>
      <c r="H423" s="3">
        <f>IF(ISNUMBER(SEARCH("ZC",BrachyTxs[[#This Row],[Physicist(s)]])),1,0)</f>
        <v>0</v>
      </c>
      <c r="I423" s="3">
        <f>IF(ISNUMBER(SEARCH("DJ",BrachyTxs[[#This Row],[MD(s)]])),1,0)</f>
        <v>0</v>
      </c>
      <c r="J423" s="3">
        <f>IF(ISNUMBER(SEARCH("JS",BrachyTxs[[#This Row],[MD(s)]])),1,0)</f>
        <v>0</v>
      </c>
      <c r="K423" s="3"/>
      <c r="L423" s="3"/>
      <c r="M423" s="3"/>
      <c r="N423" s="3"/>
      <c r="O423" t="b">
        <f>ValidatePatient(BrachyTxs[[#This Row],[Pt]])</f>
        <v>1</v>
      </c>
      <c r="P423" t="b">
        <f>ValidatePhysicists(BrachyTxs[[#This Row],[Physicist(s)]])</f>
        <v>1</v>
      </c>
      <c r="Q423" t="b">
        <f>ValidateMDs(BrachyTxs[[#This Row],[MD(s)]])</f>
        <v>1</v>
      </c>
      <c r="S423" s="3"/>
    </row>
    <row r="424" spans="1:19" x14ac:dyDescent="0.25">
      <c r="A424" t="s">
        <v>323</v>
      </c>
      <c r="B424" s="1">
        <v>43501</v>
      </c>
      <c r="C424" s="2" t="s">
        <v>269</v>
      </c>
      <c r="D424" s="3"/>
      <c r="E424" s="3"/>
      <c r="F424">
        <f>IF(ISNUMBER(SEARCH("BB",BrachyTxs[[#This Row],[Physicist(s)]])),1,0)</f>
        <v>0</v>
      </c>
      <c r="G424" s="3">
        <f>IF(ISNUMBER(SEARCH("DZ",BrachyTxs[[#This Row],[Physicist(s)]])),1,0)</f>
        <v>0</v>
      </c>
      <c r="H424" s="3">
        <f>IF(ISNUMBER(SEARCH("ZC",BrachyTxs[[#This Row],[Physicist(s)]])),1,0)</f>
        <v>0</v>
      </c>
      <c r="I424" s="3">
        <f>IF(ISNUMBER(SEARCH("DJ",BrachyTxs[[#This Row],[MD(s)]])),1,0)</f>
        <v>0</v>
      </c>
      <c r="J424" s="3">
        <f>IF(ISNUMBER(SEARCH("JS",BrachyTxs[[#This Row],[MD(s)]])),1,0)</f>
        <v>0</v>
      </c>
      <c r="K424" s="3"/>
      <c r="L424" s="3"/>
      <c r="M424" s="3"/>
      <c r="N424" s="3"/>
      <c r="O424" t="b">
        <f>ValidatePatient(BrachyTxs[[#This Row],[Pt]])</f>
        <v>1</v>
      </c>
      <c r="P424" t="b">
        <f>ValidatePhysicists(BrachyTxs[[#This Row],[Physicist(s)]])</f>
        <v>1</v>
      </c>
      <c r="Q424" t="b">
        <f>ValidateMDs(BrachyTxs[[#This Row],[MD(s)]])</f>
        <v>1</v>
      </c>
      <c r="S424" s="3"/>
    </row>
    <row r="425" spans="1:19" x14ac:dyDescent="0.25">
      <c r="A425" t="s">
        <v>323</v>
      </c>
      <c r="B425" s="1">
        <v>43528</v>
      </c>
      <c r="C425" s="2" t="s">
        <v>67</v>
      </c>
      <c r="D425" s="3"/>
      <c r="E425" s="3"/>
      <c r="F425">
        <f>IF(ISNUMBER(SEARCH("BB",BrachyTxs[[#This Row],[Physicist(s)]])),1,0)</f>
        <v>0</v>
      </c>
      <c r="G425" s="3">
        <f>IF(ISNUMBER(SEARCH("DZ",BrachyTxs[[#This Row],[Physicist(s)]])),1,0)</f>
        <v>0</v>
      </c>
      <c r="H425" s="3">
        <f>IF(ISNUMBER(SEARCH("ZC",BrachyTxs[[#This Row],[Physicist(s)]])),1,0)</f>
        <v>0</v>
      </c>
      <c r="I425" s="3">
        <f>IF(ISNUMBER(SEARCH("DJ",BrachyTxs[[#This Row],[MD(s)]])),1,0)</f>
        <v>0</v>
      </c>
      <c r="J425" s="3">
        <f>IF(ISNUMBER(SEARCH("JS",BrachyTxs[[#This Row],[MD(s)]])),1,0)</f>
        <v>0</v>
      </c>
      <c r="K425" s="3"/>
      <c r="L425" s="3"/>
      <c r="M425" s="3"/>
      <c r="N425" s="3"/>
      <c r="O425" t="b">
        <f>ValidatePatient(BrachyTxs[[#This Row],[Pt]])</f>
        <v>1</v>
      </c>
      <c r="P425" t="b">
        <f>ValidatePhysicists(BrachyTxs[[#This Row],[Physicist(s)]])</f>
        <v>1</v>
      </c>
      <c r="Q425" t="b">
        <f>ValidateMDs(BrachyTxs[[#This Row],[MD(s)]])</f>
        <v>1</v>
      </c>
      <c r="S425" s="3"/>
    </row>
    <row r="426" spans="1:19" x14ac:dyDescent="0.25">
      <c r="A426" t="s">
        <v>325</v>
      </c>
      <c r="B426" s="1">
        <v>43537</v>
      </c>
      <c r="C426" s="2" t="s">
        <v>200</v>
      </c>
      <c r="D426" s="3"/>
      <c r="E426" s="3"/>
      <c r="F426">
        <f>IF(ISNUMBER(SEARCH("BB",BrachyTxs[[#This Row],[Physicist(s)]])),1,0)</f>
        <v>0</v>
      </c>
      <c r="G426" s="3">
        <f>IF(ISNUMBER(SEARCH("DZ",BrachyTxs[[#This Row],[Physicist(s)]])),1,0)</f>
        <v>0</v>
      </c>
      <c r="H426" s="3">
        <f>IF(ISNUMBER(SEARCH("ZC",BrachyTxs[[#This Row],[Physicist(s)]])),1,0)</f>
        <v>0</v>
      </c>
      <c r="I426" s="3">
        <f>IF(ISNUMBER(SEARCH("DJ",BrachyTxs[[#This Row],[MD(s)]])),1,0)</f>
        <v>0</v>
      </c>
      <c r="J426" s="3">
        <f>IF(ISNUMBER(SEARCH("JS",BrachyTxs[[#This Row],[MD(s)]])),1,0)</f>
        <v>0</v>
      </c>
      <c r="K426" s="3"/>
      <c r="L426" s="3"/>
      <c r="M426" s="3"/>
      <c r="N426" s="3"/>
      <c r="O426" t="b">
        <f>ValidatePatient(BrachyTxs[[#This Row],[Pt]])</f>
        <v>1</v>
      </c>
      <c r="P426" t="b">
        <f>ValidatePhysicists(BrachyTxs[[#This Row],[Physicist(s)]])</f>
        <v>1</v>
      </c>
      <c r="Q426" t="b">
        <f>ValidateMDs(BrachyTxs[[#This Row],[MD(s)]])</f>
        <v>1</v>
      </c>
      <c r="S426" s="3"/>
    </row>
    <row r="427" spans="1:19" x14ac:dyDescent="0.25">
      <c r="A427" t="s">
        <v>323</v>
      </c>
      <c r="B427" s="1">
        <v>43587</v>
      </c>
      <c r="C427" s="2" t="s">
        <v>208</v>
      </c>
      <c r="D427" s="3"/>
      <c r="E427" s="3"/>
      <c r="F427">
        <f>IF(ISNUMBER(SEARCH("BB",BrachyTxs[[#This Row],[Physicist(s)]])),1,0)</f>
        <v>0</v>
      </c>
      <c r="G427" s="3">
        <f>IF(ISNUMBER(SEARCH("DZ",BrachyTxs[[#This Row],[Physicist(s)]])),1,0)</f>
        <v>0</v>
      </c>
      <c r="H427" s="3">
        <f>IF(ISNUMBER(SEARCH("ZC",BrachyTxs[[#This Row],[Physicist(s)]])),1,0)</f>
        <v>0</v>
      </c>
      <c r="I427" s="3">
        <f>IF(ISNUMBER(SEARCH("DJ",BrachyTxs[[#This Row],[MD(s)]])),1,0)</f>
        <v>0</v>
      </c>
      <c r="J427" s="3">
        <f>IF(ISNUMBER(SEARCH("JS",BrachyTxs[[#This Row],[MD(s)]])),1,0)</f>
        <v>0</v>
      </c>
      <c r="K427" s="3"/>
      <c r="L427" s="3"/>
      <c r="M427" s="3"/>
      <c r="N427" s="3"/>
      <c r="O427" t="b">
        <f>ValidatePatient(BrachyTxs[[#This Row],[Pt]])</f>
        <v>1</v>
      </c>
      <c r="P427" t="b">
        <f>ValidatePhysicists(BrachyTxs[[#This Row],[Physicist(s)]])</f>
        <v>1</v>
      </c>
      <c r="Q427" t="b">
        <f>ValidateMDs(BrachyTxs[[#This Row],[MD(s)]])</f>
        <v>1</v>
      </c>
      <c r="S427" s="3"/>
    </row>
    <row r="428" spans="1:19" x14ac:dyDescent="0.25">
      <c r="A428" t="s">
        <v>326</v>
      </c>
      <c r="B428" s="1">
        <v>43664</v>
      </c>
      <c r="C428" s="2" t="s">
        <v>152</v>
      </c>
      <c r="D428" s="3" t="s">
        <v>332</v>
      </c>
      <c r="E428" s="3"/>
      <c r="F428">
        <f>IF(ISNUMBER(SEARCH("BB",BrachyTxs[[#This Row],[Physicist(s)]])),1,0)</f>
        <v>1</v>
      </c>
      <c r="G428" s="3">
        <f>IF(ISNUMBER(SEARCH("DZ",BrachyTxs[[#This Row],[Physicist(s)]])),1,0)</f>
        <v>0</v>
      </c>
      <c r="H428" s="3">
        <f>IF(ISNUMBER(SEARCH("ZC",BrachyTxs[[#This Row],[Physicist(s)]])),1,0)</f>
        <v>0</v>
      </c>
      <c r="I428" s="3">
        <f>IF(ISNUMBER(SEARCH("DJ",BrachyTxs[[#This Row],[MD(s)]])),1,0)</f>
        <v>0</v>
      </c>
      <c r="J428" s="3">
        <f>IF(ISNUMBER(SEARCH("JS",BrachyTxs[[#This Row],[MD(s)]])),1,0)</f>
        <v>0</v>
      </c>
      <c r="K428" s="3"/>
      <c r="L428" s="3"/>
      <c r="M428" s="3"/>
      <c r="N428" s="3"/>
      <c r="O428" t="b">
        <f>ValidatePatient(BrachyTxs[[#This Row],[Pt]])</f>
        <v>1</v>
      </c>
      <c r="P428" t="b">
        <f>ValidatePhysicists(BrachyTxs[[#This Row],[Physicist(s)]])</f>
        <v>0</v>
      </c>
      <c r="Q428" t="b">
        <f>ValidateMDs(BrachyTxs[[#This Row],[MD(s)]])</f>
        <v>1</v>
      </c>
      <c r="S428" s="3"/>
    </row>
    <row r="429" spans="1:19" x14ac:dyDescent="0.25">
      <c r="A429" t="s">
        <v>323</v>
      </c>
      <c r="B429" s="1">
        <v>43665</v>
      </c>
      <c r="C429" s="2" t="s">
        <v>293</v>
      </c>
      <c r="D429" s="3"/>
      <c r="E429" s="3"/>
      <c r="F429">
        <f>IF(ISNUMBER(SEARCH("BB",BrachyTxs[[#This Row],[Physicist(s)]])),1,0)</f>
        <v>0</v>
      </c>
      <c r="G429" s="3">
        <f>IF(ISNUMBER(SEARCH("DZ",BrachyTxs[[#This Row],[Physicist(s)]])),1,0)</f>
        <v>0</v>
      </c>
      <c r="H429" s="3">
        <f>IF(ISNUMBER(SEARCH("ZC",BrachyTxs[[#This Row],[Physicist(s)]])),1,0)</f>
        <v>0</v>
      </c>
      <c r="I429" s="3">
        <f>IF(ISNUMBER(SEARCH("DJ",BrachyTxs[[#This Row],[MD(s)]])),1,0)</f>
        <v>0</v>
      </c>
      <c r="J429" s="3">
        <f>IF(ISNUMBER(SEARCH("JS",BrachyTxs[[#This Row],[MD(s)]])),1,0)</f>
        <v>0</v>
      </c>
      <c r="K429" s="3"/>
      <c r="L429" s="3"/>
      <c r="M429" s="3"/>
      <c r="N429" s="3"/>
      <c r="O429" t="b">
        <f>ValidatePatient(BrachyTxs[[#This Row],[Pt]])</f>
        <v>1</v>
      </c>
      <c r="P429" t="b">
        <f>ValidatePhysicists(BrachyTxs[[#This Row],[Physicist(s)]])</f>
        <v>1</v>
      </c>
      <c r="Q429" t="b">
        <f>ValidateMDs(BrachyTxs[[#This Row],[MD(s)]])</f>
        <v>1</v>
      </c>
      <c r="S429" s="3"/>
    </row>
    <row r="430" spans="1:19" x14ac:dyDescent="0.25">
      <c r="A430" t="s">
        <v>323</v>
      </c>
      <c r="B430" s="1">
        <v>43696</v>
      </c>
      <c r="C430" s="2" t="s">
        <v>109</v>
      </c>
      <c r="D430" s="3"/>
      <c r="E430" s="3"/>
      <c r="F430">
        <f>IF(ISNUMBER(SEARCH("BB",BrachyTxs[[#This Row],[Physicist(s)]])),1,0)</f>
        <v>0</v>
      </c>
      <c r="G430" s="3">
        <f>IF(ISNUMBER(SEARCH("DZ",BrachyTxs[[#This Row],[Physicist(s)]])),1,0)</f>
        <v>0</v>
      </c>
      <c r="H430" s="3">
        <f>IF(ISNUMBER(SEARCH("ZC",BrachyTxs[[#This Row],[Physicist(s)]])),1,0)</f>
        <v>0</v>
      </c>
      <c r="I430" s="3">
        <f>IF(ISNUMBER(SEARCH("DJ",BrachyTxs[[#This Row],[MD(s)]])),1,0)</f>
        <v>0</v>
      </c>
      <c r="J430" s="3">
        <f>IF(ISNUMBER(SEARCH("JS",BrachyTxs[[#This Row],[MD(s)]])),1,0)</f>
        <v>0</v>
      </c>
      <c r="K430" s="3"/>
      <c r="L430" s="3"/>
      <c r="M430" s="3"/>
      <c r="N430" s="3"/>
      <c r="O430" t="b">
        <f>ValidatePatient(BrachyTxs[[#This Row],[Pt]])</f>
        <v>1</v>
      </c>
      <c r="P430" t="b">
        <f>ValidatePhysicists(BrachyTxs[[#This Row],[Physicist(s)]])</f>
        <v>1</v>
      </c>
      <c r="Q430" t="b">
        <f>ValidateMDs(BrachyTxs[[#This Row],[MD(s)]])</f>
        <v>1</v>
      </c>
      <c r="S430" s="3"/>
    </row>
    <row r="431" spans="1:19" x14ac:dyDescent="0.25">
      <c r="A431" t="s">
        <v>326</v>
      </c>
      <c r="B431" s="1">
        <v>43699</v>
      </c>
      <c r="C431" s="2" t="s">
        <v>152</v>
      </c>
      <c r="D431" s="3" t="s">
        <v>332</v>
      </c>
      <c r="E431" s="3"/>
      <c r="F431">
        <f>IF(ISNUMBER(SEARCH("BB",BrachyTxs[[#This Row],[Physicist(s)]])),1,0)</f>
        <v>1</v>
      </c>
      <c r="G431" s="3">
        <f>IF(ISNUMBER(SEARCH("DZ",BrachyTxs[[#This Row],[Physicist(s)]])),1,0)</f>
        <v>0</v>
      </c>
      <c r="H431" s="3">
        <f>IF(ISNUMBER(SEARCH("ZC",BrachyTxs[[#This Row],[Physicist(s)]])),1,0)</f>
        <v>0</v>
      </c>
      <c r="I431" s="3">
        <f>IF(ISNUMBER(SEARCH("DJ",BrachyTxs[[#This Row],[MD(s)]])),1,0)</f>
        <v>0</v>
      </c>
      <c r="J431" s="3">
        <f>IF(ISNUMBER(SEARCH("JS",BrachyTxs[[#This Row],[MD(s)]])),1,0)</f>
        <v>0</v>
      </c>
      <c r="K431" s="3"/>
      <c r="L431" s="3"/>
      <c r="M431" s="3"/>
      <c r="N431" s="3"/>
      <c r="O431" t="b">
        <f>ValidatePatient(BrachyTxs[[#This Row],[Pt]])</f>
        <v>1</v>
      </c>
      <c r="P431" t="b">
        <f>ValidatePhysicists(BrachyTxs[[#This Row],[Physicist(s)]])</f>
        <v>0</v>
      </c>
      <c r="Q431" t="b">
        <f>ValidateMDs(BrachyTxs[[#This Row],[MD(s)]])</f>
        <v>1</v>
      </c>
      <c r="S431" s="3"/>
    </row>
    <row r="432" spans="1:19" x14ac:dyDescent="0.25">
      <c r="A432" t="s">
        <v>324</v>
      </c>
      <c r="B432" s="1">
        <v>43725</v>
      </c>
      <c r="C432" s="2" t="s">
        <v>77</v>
      </c>
      <c r="D432" s="3"/>
      <c r="E432" s="3"/>
      <c r="F432">
        <f>IF(ISNUMBER(SEARCH("BB",BrachyTxs[[#This Row],[Physicist(s)]])),1,0)</f>
        <v>0</v>
      </c>
      <c r="G432" s="3">
        <f>IF(ISNUMBER(SEARCH("DZ",BrachyTxs[[#This Row],[Physicist(s)]])),1,0)</f>
        <v>0</v>
      </c>
      <c r="H432" s="3">
        <f>IF(ISNUMBER(SEARCH("ZC",BrachyTxs[[#This Row],[Physicist(s)]])),1,0)</f>
        <v>0</v>
      </c>
      <c r="I432" s="3">
        <f>IF(ISNUMBER(SEARCH("DJ",BrachyTxs[[#This Row],[MD(s)]])),1,0)</f>
        <v>0</v>
      </c>
      <c r="J432" s="3">
        <f>IF(ISNUMBER(SEARCH("JS",BrachyTxs[[#This Row],[MD(s)]])),1,0)</f>
        <v>0</v>
      </c>
      <c r="K432" s="3"/>
      <c r="L432" s="3"/>
      <c r="M432" s="3"/>
      <c r="N432" s="3"/>
      <c r="O432" t="b">
        <f>ValidatePatient(BrachyTxs[[#This Row],[Pt]])</f>
        <v>1</v>
      </c>
      <c r="P432" t="b">
        <f>ValidatePhysicists(BrachyTxs[[#This Row],[Physicist(s)]])</f>
        <v>1</v>
      </c>
      <c r="Q432" t="b">
        <f>ValidateMDs(BrachyTxs[[#This Row],[MD(s)]])</f>
        <v>1</v>
      </c>
      <c r="S432" s="3"/>
    </row>
    <row r="433" spans="1:19" x14ac:dyDescent="0.25">
      <c r="A433" t="s">
        <v>323</v>
      </c>
      <c r="B433" s="1">
        <v>43731</v>
      </c>
      <c r="C433" s="2" t="s">
        <v>224</v>
      </c>
      <c r="D433" s="3"/>
      <c r="E433" s="3"/>
      <c r="F433">
        <f>IF(ISNUMBER(SEARCH("BB",BrachyTxs[[#This Row],[Physicist(s)]])),1,0)</f>
        <v>0</v>
      </c>
      <c r="G433" s="3">
        <f>IF(ISNUMBER(SEARCH("DZ",BrachyTxs[[#This Row],[Physicist(s)]])),1,0)</f>
        <v>0</v>
      </c>
      <c r="H433" s="3">
        <f>IF(ISNUMBER(SEARCH("ZC",BrachyTxs[[#This Row],[Physicist(s)]])),1,0)</f>
        <v>0</v>
      </c>
      <c r="I433" s="3">
        <f>IF(ISNUMBER(SEARCH("DJ",BrachyTxs[[#This Row],[MD(s)]])),1,0)</f>
        <v>0</v>
      </c>
      <c r="J433" s="3">
        <f>IF(ISNUMBER(SEARCH("JS",BrachyTxs[[#This Row],[MD(s)]])),1,0)</f>
        <v>0</v>
      </c>
      <c r="K433" s="3"/>
      <c r="L433" s="3"/>
      <c r="M433" s="3"/>
      <c r="N433" s="3"/>
      <c r="O433" t="b">
        <f>ValidatePatient(BrachyTxs[[#This Row],[Pt]])</f>
        <v>1</v>
      </c>
      <c r="P433" t="b">
        <f>ValidatePhysicists(BrachyTxs[[#This Row],[Physicist(s)]])</f>
        <v>1</v>
      </c>
      <c r="Q433" t="b">
        <f>ValidateMDs(BrachyTxs[[#This Row],[MD(s)]])</f>
        <v>1</v>
      </c>
      <c r="S433" s="3"/>
    </row>
    <row r="434" spans="1:19" x14ac:dyDescent="0.25">
      <c r="A434" t="s">
        <v>326</v>
      </c>
      <c r="B434" s="1">
        <v>43734</v>
      </c>
      <c r="C434" s="2" t="s">
        <v>152</v>
      </c>
      <c r="D434" s="3" t="s">
        <v>332</v>
      </c>
      <c r="E434" s="3"/>
      <c r="F434">
        <f>IF(ISNUMBER(SEARCH("BB",BrachyTxs[[#This Row],[Physicist(s)]])),1,0)</f>
        <v>1</v>
      </c>
      <c r="G434" s="3">
        <f>IF(ISNUMBER(SEARCH("DZ",BrachyTxs[[#This Row],[Physicist(s)]])),1,0)</f>
        <v>0</v>
      </c>
      <c r="H434" s="3">
        <f>IF(ISNUMBER(SEARCH("ZC",BrachyTxs[[#This Row],[Physicist(s)]])),1,0)</f>
        <v>0</v>
      </c>
      <c r="I434" s="3">
        <f>IF(ISNUMBER(SEARCH("DJ",BrachyTxs[[#This Row],[MD(s)]])),1,0)</f>
        <v>0</v>
      </c>
      <c r="J434" s="3">
        <f>IF(ISNUMBER(SEARCH("JS",BrachyTxs[[#This Row],[MD(s)]])),1,0)</f>
        <v>0</v>
      </c>
      <c r="K434" s="3"/>
      <c r="L434" s="3"/>
      <c r="M434" s="3"/>
      <c r="N434" s="3"/>
      <c r="O434" t="b">
        <f>ValidatePatient(BrachyTxs[[#This Row],[Pt]])</f>
        <v>1</v>
      </c>
      <c r="P434" t="b">
        <f>ValidatePhysicists(BrachyTxs[[#This Row],[Physicist(s)]])</f>
        <v>0</v>
      </c>
      <c r="Q434" t="b">
        <f>ValidateMDs(BrachyTxs[[#This Row],[MD(s)]])</f>
        <v>1</v>
      </c>
      <c r="S434" s="3"/>
    </row>
    <row r="435" spans="1:19" x14ac:dyDescent="0.25">
      <c r="A435" t="s">
        <v>325</v>
      </c>
      <c r="B435" s="1">
        <v>43738</v>
      </c>
      <c r="C435" s="2" t="s">
        <v>32</v>
      </c>
      <c r="D435" s="3" t="s">
        <v>332</v>
      </c>
      <c r="E435" s="3"/>
      <c r="F435">
        <f>IF(ISNUMBER(SEARCH("BB",BrachyTxs[[#This Row],[Physicist(s)]])),1,0)</f>
        <v>1</v>
      </c>
      <c r="G435" s="3">
        <f>IF(ISNUMBER(SEARCH("DZ",BrachyTxs[[#This Row],[Physicist(s)]])),1,0)</f>
        <v>0</v>
      </c>
      <c r="H435" s="3">
        <f>IF(ISNUMBER(SEARCH("ZC",BrachyTxs[[#This Row],[Physicist(s)]])),1,0)</f>
        <v>0</v>
      </c>
      <c r="I435" s="3">
        <f>IF(ISNUMBER(SEARCH("DJ",BrachyTxs[[#This Row],[MD(s)]])),1,0)</f>
        <v>0</v>
      </c>
      <c r="J435" s="3">
        <f>IF(ISNUMBER(SEARCH("JS",BrachyTxs[[#This Row],[MD(s)]])),1,0)</f>
        <v>0</v>
      </c>
      <c r="K435" s="3"/>
      <c r="L435" s="3"/>
      <c r="M435" s="3"/>
      <c r="N435" s="3"/>
      <c r="O435" t="b">
        <f>ValidatePatient(BrachyTxs[[#This Row],[Pt]])</f>
        <v>1</v>
      </c>
      <c r="P435" t="b">
        <f>ValidatePhysicists(BrachyTxs[[#This Row],[Physicist(s)]])</f>
        <v>0</v>
      </c>
      <c r="Q435" t="b">
        <f>ValidateMDs(BrachyTxs[[#This Row],[MD(s)]])</f>
        <v>1</v>
      </c>
      <c r="S435" s="3"/>
    </row>
    <row r="436" spans="1:19" x14ac:dyDescent="0.25">
      <c r="A436" t="s">
        <v>324</v>
      </c>
      <c r="B436" s="1">
        <v>43741</v>
      </c>
      <c r="C436" s="2" t="s">
        <v>77</v>
      </c>
      <c r="D436" s="3"/>
      <c r="E436" s="3"/>
      <c r="F436">
        <f>IF(ISNUMBER(SEARCH("BB",BrachyTxs[[#This Row],[Physicist(s)]])),1,0)</f>
        <v>0</v>
      </c>
      <c r="G436" s="3">
        <f>IF(ISNUMBER(SEARCH("DZ",BrachyTxs[[#This Row],[Physicist(s)]])),1,0)</f>
        <v>0</v>
      </c>
      <c r="H436" s="3">
        <f>IF(ISNUMBER(SEARCH("ZC",BrachyTxs[[#This Row],[Physicist(s)]])),1,0)</f>
        <v>0</v>
      </c>
      <c r="I436" s="3">
        <f>IF(ISNUMBER(SEARCH("DJ",BrachyTxs[[#This Row],[MD(s)]])),1,0)</f>
        <v>0</v>
      </c>
      <c r="J436" s="3">
        <f>IF(ISNUMBER(SEARCH("JS",BrachyTxs[[#This Row],[MD(s)]])),1,0)</f>
        <v>0</v>
      </c>
      <c r="K436" s="3"/>
      <c r="L436" s="3"/>
      <c r="M436" s="3"/>
      <c r="N436" s="3"/>
      <c r="O436" t="b">
        <f>ValidatePatient(BrachyTxs[[#This Row],[Pt]])</f>
        <v>1</v>
      </c>
      <c r="P436" t="b">
        <f>ValidatePhysicists(BrachyTxs[[#This Row],[Physicist(s)]])</f>
        <v>1</v>
      </c>
      <c r="Q436" t="b">
        <f>ValidateMDs(BrachyTxs[[#This Row],[MD(s)]])</f>
        <v>1</v>
      </c>
      <c r="S436" s="3"/>
    </row>
    <row r="437" spans="1:19" x14ac:dyDescent="0.25">
      <c r="A437" t="s">
        <v>324</v>
      </c>
      <c r="B437" s="1">
        <v>43744</v>
      </c>
      <c r="C437" s="2" t="s">
        <v>238</v>
      </c>
      <c r="D437" s="3"/>
      <c r="E437" s="3" t="s">
        <v>336</v>
      </c>
      <c r="F437">
        <f>IF(ISNUMBER(SEARCH("BB",BrachyTxs[[#This Row],[Physicist(s)]])),1,0)</f>
        <v>0</v>
      </c>
      <c r="G437" s="3">
        <f>IF(ISNUMBER(SEARCH("DZ",BrachyTxs[[#This Row],[Physicist(s)]])),1,0)</f>
        <v>0</v>
      </c>
      <c r="H437" s="3">
        <f>IF(ISNUMBER(SEARCH("ZC",BrachyTxs[[#This Row],[Physicist(s)]])),1,0)</f>
        <v>0</v>
      </c>
      <c r="I437" s="3">
        <f>IF(ISNUMBER(SEARCH("DJ",BrachyTxs[[#This Row],[MD(s)]])),1,0)</f>
        <v>0</v>
      </c>
      <c r="J437" s="3">
        <f>IF(ISNUMBER(SEARCH("JS",BrachyTxs[[#This Row],[MD(s)]])),1,0)</f>
        <v>1</v>
      </c>
      <c r="K437" s="3"/>
      <c r="L437" s="3"/>
      <c r="M437" s="3"/>
      <c r="N437" s="3"/>
      <c r="O437" t="b">
        <f>ValidatePatient(BrachyTxs[[#This Row],[Pt]])</f>
        <v>1</v>
      </c>
      <c r="P437" t="b">
        <f>ValidatePhysicists(BrachyTxs[[#This Row],[Physicist(s)]])</f>
        <v>1</v>
      </c>
      <c r="Q437" t="b">
        <f>ValidateMDs(BrachyTxs[[#This Row],[MD(s)]])</f>
        <v>0</v>
      </c>
      <c r="S437" s="3"/>
    </row>
    <row r="438" spans="1:19" x14ac:dyDescent="0.25">
      <c r="A438" t="s">
        <v>325</v>
      </c>
      <c r="B438" s="1">
        <v>43762</v>
      </c>
      <c r="C438" s="2" t="s">
        <v>239</v>
      </c>
      <c r="D438" s="3"/>
      <c r="E438" s="3"/>
      <c r="F438">
        <f>IF(ISNUMBER(SEARCH("BB",BrachyTxs[[#This Row],[Physicist(s)]])),1,0)</f>
        <v>0</v>
      </c>
      <c r="G438" s="3">
        <f>IF(ISNUMBER(SEARCH("DZ",BrachyTxs[[#This Row],[Physicist(s)]])),1,0)</f>
        <v>0</v>
      </c>
      <c r="H438" s="3">
        <f>IF(ISNUMBER(SEARCH("ZC",BrachyTxs[[#This Row],[Physicist(s)]])),1,0)</f>
        <v>0</v>
      </c>
      <c r="I438" s="3">
        <f>IF(ISNUMBER(SEARCH("DJ",BrachyTxs[[#This Row],[MD(s)]])),1,0)</f>
        <v>0</v>
      </c>
      <c r="J438" s="3">
        <f>IF(ISNUMBER(SEARCH("JS",BrachyTxs[[#This Row],[MD(s)]])),1,0)</f>
        <v>0</v>
      </c>
      <c r="K438" s="3"/>
      <c r="L438" s="3"/>
      <c r="M438" s="3"/>
      <c r="N438" s="3"/>
      <c r="O438" t="b">
        <f>ValidatePatient(BrachyTxs[[#This Row],[Pt]])</f>
        <v>1</v>
      </c>
      <c r="P438" t="b">
        <f>ValidatePhysicists(BrachyTxs[[#This Row],[Physicist(s)]])</f>
        <v>1</v>
      </c>
      <c r="Q438" t="b">
        <f>ValidateMDs(BrachyTxs[[#This Row],[MD(s)]])</f>
        <v>1</v>
      </c>
      <c r="S438" s="3"/>
    </row>
    <row r="439" spans="1:19" x14ac:dyDescent="0.25">
      <c r="A439" t="s">
        <v>323</v>
      </c>
      <c r="B439" s="1">
        <v>43777</v>
      </c>
      <c r="C439" s="2" t="s">
        <v>134</v>
      </c>
      <c r="D439" s="3"/>
      <c r="E439" s="3"/>
      <c r="F439">
        <f>IF(ISNUMBER(SEARCH("BB",BrachyTxs[[#This Row],[Physicist(s)]])),1,0)</f>
        <v>0</v>
      </c>
      <c r="G439" s="3">
        <f>IF(ISNUMBER(SEARCH("DZ",BrachyTxs[[#This Row],[Physicist(s)]])),1,0)</f>
        <v>0</v>
      </c>
      <c r="H439" s="3">
        <f>IF(ISNUMBER(SEARCH("ZC",BrachyTxs[[#This Row],[Physicist(s)]])),1,0)</f>
        <v>0</v>
      </c>
      <c r="I439" s="3">
        <f>IF(ISNUMBER(SEARCH("DJ",BrachyTxs[[#This Row],[MD(s)]])),1,0)</f>
        <v>0</v>
      </c>
      <c r="J439" s="3">
        <f>IF(ISNUMBER(SEARCH("JS",BrachyTxs[[#This Row],[MD(s)]])),1,0)</f>
        <v>0</v>
      </c>
      <c r="K439" s="3"/>
      <c r="L439" s="3"/>
      <c r="M439" s="3"/>
      <c r="N439" s="3"/>
      <c r="O439" t="b">
        <f>ValidatePatient(BrachyTxs[[#This Row],[Pt]])</f>
        <v>1</v>
      </c>
      <c r="P439" t="b">
        <f>ValidatePhysicists(BrachyTxs[[#This Row],[Physicist(s)]])</f>
        <v>1</v>
      </c>
      <c r="Q439" t="b">
        <f>ValidateMDs(BrachyTxs[[#This Row],[MD(s)]])</f>
        <v>1</v>
      </c>
      <c r="S439" s="3"/>
    </row>
    <row r="440" spans="1:19" x14ac:dyDescent="0.25">
      <c r="A440" t="s">
        <v>326</v>
      </c>
      <c r="B440" s="1">
        <v>43781</v>
      </c>
      <c r="C440" s="2" t="s">
        <v>152</v>
      </c>
      <c r="D440" s="3" t="s">
        <v>332</v>
      </c>
      <c r="E440" s="3"/>
      <c r="F440">
        <f>IF(ISNUMBER(SEARCH("BB",BrachyTxs[[#This Row],[Physicist(s)]])),1,0)</f>
        <v>1</v>
      </c>
      <c r="G440" s="3">
        <f>IF(ISNUMBER(SEARCH("DZ",BrachyTxs[[#This Row],[Physicist(s)]])),1,0)</f>
        <v>0</v>
      </c>
      <c r="H440" s="3">
        <f>IF(ISNUMBER(SEARCH("ZC",BrachyTxs[[#This Row],[Physicist(s)]])),1,0)</f>
        <v>0</v>
      </c>
      <c r="I440" s="3">
        <f>IF(ISNUMBER(SEARCH("DJ",BrachyTxs[[#This Row],[MD(s)]])),1,0)</f>
        <v>0</v>
      </c>
      <c r="J440" s="3">
        <f>IF(ISNUMBER(SEARCH("JS",BrachyTxs[[#This Row],[MD(s)]])),1,0)</f>
        <v>0</v>
      </c>
      <c r="K440" s="3"/>
      <c r="L440" s="3"/>
      <c r="M440" s="3"/>
      <c r="N440" s="3"/>
      <c r="O440" t="b">
        <f>ValidatePatient(BrachyTxs[[#This Row],[Pt]])</f>
        <v>1</v>
      </c>
      <c r="P440" t="b">
        <f>ValidatePhysicists(BrachyTxs[[#This Row],[Physicist(s)]])</f>
        <v>0</v>
      </c>
      <c r="Q440" t="b">
        <f>ValidateMDs(BrachyTxs[[#This Row],[MD(s)]])</f>
        <v>1</v>
      </c>
      <c r="S440" s="3"/>
    </row>
    <row r="441" spans="1:19" x14ac:dyDescent="0.25">
      <c r="A441" t="s">
        <v>326</v>
      </c>
      <c r="B441" s="1">
        <v>43811</v>
      </c>
      <c r="C441" s="2" t="s">
        <v>152</v>
      </c>
      <c r="D441" s="3" t="s">
        <v>332</v>
      </c>
      <c r="E441" s="3"/>
      <c r="F441">
        <f>IF(ISNUMBER(SEARCH("BB",BrachyTxs[[#This Row],[Physicist(s)]])),1,0)</f>
        <v>1</v>
      </c>
      <c r="G441" s="3">
        <f>IF(ISNUMBER(SEARCH("DZ",BrachyTxs[[#This Row],[Physicist(s)]])),1,0)</f>
        <v>0</v>
      </c>
      <c r="H441" s="3">
        <f>IF(ISNUMBER(SEARCH("ZC",BrachyTxs[[#This Row],[Physicist(s)]])),1,0)</f>
        <v>0</v>
      </c>
      <c r="I441" s="3">
        <f>IF(ISNUMBER(SEARCH("DJ",BrachyTxs[[#This Row],[MD(s)]])),1,0)</f>
        <v>0</v>
      </c>
      <c r="J441" s="3">
        <f>IF(ISNUMBER(SEARCH("JS",BrachyTxs[[#This Row],[MD(s)]])),1,0)</f>
        <v>0</v>
      </c>
      <c r="K441" s="3"/>
      <c r="L441" s="3"/>
      <c r="M441" s="3"/>
      <c r="N441" s="3"/>
      <c r="O441" t="b">
        <f>ValidatePatient(BrachyTxs[[#This Row],[Pt]])</f>
        <v>1</v>
      </c>
      <c r="P441" t="b">
        <f>ValidatePhysicists(BrachyTxs[[#This Row],[Physicist(s)]])</f>
        <v>0</v>
      </c>
      <c r="Q441" t="b">
        <f>ValidateMDs(BrachyTxs[[#This Row],[MD(s)]])</f>
        <v>1</v>
      </c>
      <c r="S441" s="3"/>
    </row>
    <row r="442" spans="1:19" x14ac:dyDescent="0.25">
      <c r="A442" t="s">
        <v>323</v>
      </c>
      <c r="B442" s="1">
        <v>43819</v>
      </c>
      <c r="C442" s="2" t="s">
        <v>26</v>
      </c>
      <c r="D442" s="3"/>
      <c r="E442" s="3"/>
      <c r="F442">
        <f>IF(ISNUMBER(SEARCH("BB",BrachyTxs[[#This Row],[Physicist(s)]])),1,0)</f>
        <v>0</v>
      </c>
      <c r="G442" s="3">
        <f>IF(ISNUMBER(SEARCH("DZ",BrachyTxs[[#This Row],[Physicist(s)]])),1,0)</f>
        <v>0</v>
      </c>
      <c r="H442" s="3">
        <f>IF(ISNUMBER(SEARCH("ZC",BrachyTxs[[#This Row],[Physicist(s)]])),1,0)</f>
        <v>0</v>
      </c>
      <c r="I442" s="3">
        <f>IF(ISNUMBER(SEARCH("DJ",BrachyTxs[[#This Row],[MD(s)]])),1,0)</f>
        <v>0</v>
      </c>
      <c r="J442" s="3">
        <f>IF(ISNUMBER(SEARCH("JS",BrachyTxs[[#This Row],[MD(s)]])),1,0)</f>
        <v>0</v>
      </c>
      <c r="K442" s="3"/>
      <c r="L442" s="3"/>
      <c r="M442" s="3"/>
      <c r="N442" s="3"/>
      <c r="O442" t="b">
        <f>ValidatePatient(BrachyTxs[[#This Row],[Pt]])</f>
        <v>1</v>
      </c>
      <c r="P442" t="b">
        <f>ValidatePhysicists(BrachyTxs[[#This Row],[Physicist(s)]])</f>
        <v>1</v>
      </c>
      <c r="Q442" t="b">
        <f>ValidateMDs(BrachyTxs[[#This Row],[MD(s)]])</f>
        <v>1</v>
      </c>
      <c r="S442" s="3"/>
    </row>
    <row r="443" spans="1:19" x14ac:dyDescent="0.25">
      <c r="A443" t="s">
        <v>323</v>
      </c>
      <c r="B443" s="1">
        <v>43833</v>
      </c>
      <c r="C443" s="2" t="s">
        <v>162</v>
      </c>
      <c r="D443" s="3"/>
      <c r="E443" s="3"/>
      <c r="F443">
        <f>IF(ISNUMBER(SEARCH("BB",BrachyTxs[[#This Row],[Physicist(s)]])),1,0)</f>
        <v>0</v>
      </c>
      <c r="G443" s="3">
        <f>IF(ISNUMBER(SEARCH("DZ",BrachyTxs[[#This Row],[Physicist(s)]])),1,0)</f>
        <v>0</v>
      </c>
      <c r="H443" s="3">
        <f>IF(ISNUMBER(SEARCH("ZC",BrachyTxs[[#This Row],[Physicist(s)]])),1,0)</f>
        <v>0</v>
      </c>
      <c r="I443" s="3">
        <f>IF(ISNUMBER(SEARCH("DJ",BrachyTxs[[#This Row],[MD(s)]])),1,0)</f>
        <v>0</v>
      </c>
      <c r="J443" s="3">
        <f>IF(ISNUMBER(SEARCH("JS",BrachyTxs[[#This Row],[MD(s)]])),1,0)</f>
        <v>0</v>
      </c>
      <c r="K443" s="3"/>
      <c r="L443" s="3"/>
      <c r="M443" s="3"/>
      <c r="N443" s="3"/>
      <c r="O443" t="b">
        <f>ValidatePatient(BrachyTxs[[#This Row],[Pt]])</f>
        <v>1</v>
      </c>
      <c r="P443" t="b">
        <f>ValidatePhysicists(BrachyTxs[[#This Row],[Physicist(s)]])</f>
        <v>1</v>
      </c>
      <c r="Q443" t="b">
        <f>ValidateMDs(BrachyTxs[[#This Row],[MD(s)]])</f>
        <v>1</v>
      </c>
      <c r="S443" s="3"/>
    </row>
    <row r="444" spans="1:19" x14ac:dyDescent="0.25">
      <c r="A444" t="s">
        <v>326</v>
      </c>
      <c r="B444" s="1">
        <v>43839</v>
      </c>
      <c r="C444" s="2" t="s">
        <v>152</v>
      </c>
      <c r="D444" s="3" t="s">
        <v>332</v>
      </c>
      <c r="E444" s="3"/>
      <c r="F444">
        <f>IF(ISNUMBER(SEARCH("BB",BrachyTxs[[#This Row],[Physicist(s)]])),1,0)</f>
        <v>1</v>
      </c>
      <c r="G444" s="3">
        <f>IF(ISNUMBER(SEARCH("DZ",BrachyTxs[[#This Row],[Physicist(s)]])),1,0)</f>
        <v>0</v>
      </c>
      <c r="H444" s="3">
        <f>IF(ISNUMBER(SEARCH("ZC",BrachyTxs[[#This Row],[Physicist(s)]])),1,0)</f>
        <v>0</v>
      </c>
      <c r="I444" s="3">
        <f>IF(ISNUMBER(SEARCH("DJ",BrachyTxs[[#This Row],[MD(s)]])),1,0)</f>
        <v>0</v>
      </c>
      <c r="J444" s="3">
        <f>IF(ISNUMBER(SEARCH("JS",BrachyTxs[[#This Row],[MD(s)]])),1,0)</f>
        <v>0</v>
      </c>
      <c r="K444" s="3"/>
      <c r="L444" s="3"/>
      <c r="M444" s="3"/>
      <c r="N444" s="3"/>
      <c r="O444" t="b">
        <f>ValidatePatient(BrachyTxs[[#This Row],[Pt]])</f>
        <v>1</v>
      </c>
      <c r="P444" t="b">
        <f>ValidatePhysicists(BrachyTxs[[#This Row],[Physicist(s)]])</f>
        <v>0</v>
      </c>
      <c r="Q444" t="b">
        <f>ValidateMDs(BrachyTxs[[#This Row],[MD(s)]])</f>
        <v>1</v>
      </c>
      <c r="S444" s="3"/>
    </row>
    <row r="445" spans="1:19" x14ac:dyDescent="0.25">
      <c r="A445" t="s">
        <v>326</v>
      </c>
      <c r="B445" s="1">
        <v>43851</v>
      </c>
      <c r="C445" s="2" t="s">
        <v>144</v>
      </c>
      <c r="D445" s="3"/>
      <c r="E445" s="3"/>
      <c r="F445">
        <f>IF(ISNUMBER(SEARCH("BB",BrachyTxs[[#This Row],[Physicist(s)]])),1,0)</f>
        <v>0</v>
      </c>
      <c r="G445" s="3">
        <f>IF(ISNUMBER(SEARCH("DZ",BrachyTxs[[#This Row],[Physicist(s)]])),1,0)</f>
        <v>0</v>
      </c>
      <c r="H445" s="3">
        <f>IF(ISNUMBER(SEARCH("ZC",BrachyTxs[[#This Row],[Physicist(s)]])),1,0)</f>
        <v>0</v>
      </c>
      <c r="I445" s="3">
        <f>IF(ISNUMBER(SEARCH("DJ",BrachyTxs[[#This Row],[MD(s)]])),1,0)</f>
        <v>0</v>
      </c>
      <c r="J445" s="3">
        <f>IF(ISNUMBER(SEARCH("JS",BrachyTxs[[#This Row],[MD(s)]])),1,0)</f>
        <v>0</v>
      </c>
      <c r="K445" s="3"/>
      <c r="L445" s="3"/>
      <c r="M445" s="3"/>
      <c r="N445" s="3"/>
      <c r="O445" t="b">
        <f>ValidatePatient(BrachyTxs[[#This Row],[Pt]])</f>
        <v>1</v>
      </c>
      <c r="P445" t="b">
        <f>ValidatePhysicists(BrachyTxs[[#This Row],[Physicist(s)]])</f>
        <v>1</v>
      </c>
      <c r="Q445" t="b">
        <f>ValidateMDs(BrachyTxs[[#This Row],[MD(s)]])</f>
        <v>1</v>
      </c>
      <c r="S445" s="3"/>
    </row>
    <row r="446" spans="1:19" x14ac:dyDescent="0.25">
      <c r="A446" t="s">
        <v>323</v>
      </c>
      <c r="B446" s="1">
        <v>43899</v>
      </c>
      <c r="C446" s="2" t="s">
        <v>188</v>
      </c>
      <c r="D446" s="3"/>
      <c r="E446" s="3"/>
      <c r="F446">
        <f>IF(ISNUMBER(SEARCH("BB",BrachyTxs[[#This Row],[Physicist(s)]])),1,0)</f>
        <v>0</v>
      </c>
      <c r="G446" s="3">
        <f>IF(ISNUMBER(SEARCH("DZ",BrachyTxs[[#This Row],[Physicist(s)]])),1,0)</f>
        <v>0</v>
      </c>
      <c r="H446" s="3">
        <f>IF(ISNUMBER(SEARCH("ZC",BrachyTxs[[#This Row],[Physicist(s)]])),1,0)</f>
        <v>0</v>
      </c>
      <c r="I446" s="3">
        <f>IF(ISNUMBER(SEARCH("DJ",BrachyTxs[[#This Row],[MD(s)]])),1,0)</f>
        <v>0</v>
      </c>
      <c r="J446" s="3">
        <f>IF(ISNUMBER(SEARCH("JS",BrachyTxs[[#This Row],[MD(s)]])),1,0)</f>
        <v>0</v>
      </c>
      <c r="K446" s="3"/>
      <c r="L446" s="3"/>
      <c r="M446" s="3"/>
      <c r="N446" s="3"/>
      <c r="O446" t="b">
        <f>ValidatePatient(BrachyTxs[[#This Row],[Pt]])</f>
        <v>1</v>
      </c>
      <c r="P446" t="b">
        <f>ValidatePhysicists(BrachyTxs[[#This Row],[Physicist(s)]])</f>
        <v>1</v>
      </c>
      <c r="Q446" t="b">
        <f>ValidateMDs(BrachyTxs[[#This Row],[MD(s)]])</f>
        <v>1</v>
      </c>
      <c r="S446" s="3"/>
    </row>
    <row r="447" spans="1:19" x14ac:dyDescent="0.25">
      <c r="A447" t="s">
        <v>323</v>
      </c>
      <c r="B447" s="1">
        <v>43899</v>
      </c>
      <c r="C447" s="2" t="s">
        <v>82</v>
      </c>
      <c r="D447" s="3"/>
      <c r="E447" s="3"/>
      <c r="F447">
        <f>IF(ISNUMBER(SEARCH("BB",BrachyTxs[[#This Row],[Physicist(s)]])),1,0)</f>
        <v>0</v>
      </c>
      <c r="G447" s="3">
        <f>IF(ISNUMBER(SEARCH("DZ",BrachyTxs[[#This Row],[Physicist(s)]])),1,0)</f>
        <v>0</v>
      </c>
      <c r="H447" s="3">
        <f>IF(ISNUMBER(SEARCH("ZC",BrachyTxs[[#This Row],[Physicist(s)]])),1,0)</f>
        <v>0</v>
      </c>
      <c r="I447" s="3">
        <f>IF(ISNUMBER(SEARCH("DJ",BrachyTxs[[#This Row],[MD(s)]])),1,0)</f>
        <v>0</v>
      </c>
      <c r="J447" s="3">
        <f>IF(ISNUMBER(SEARCH("JS",BrachyTxs[[#This Row],[MD(s)]])),1,0)</f>
        <v>0</v>
      </c>
      <c r="K447" s="3"/>
      <c r="L447" s="3"/>
      <c r="M447" s="3"/>
      <c r="N447" s="3"/>
      <c r="O447" t="b">
        <f>ValidatePatient(BrachyTxs[[#This Row],[Pt]])</f>
        <v>1</v>
      </c>
      <c r="P447" t="b">
        <f>ValidatePhysicists(BrachyTxs[[#This Row],[Physicist(s)]])</f>
        <v>1</v>
      </c>
      <c r="Q447" t="b">
        <f>ValidateMDs(BrachyTxs[[#This Row],[MD(s)]])</f>
        <v>1</v>
      </c>
      <c r="S447" s="3"/>
    </row>
    <row r="448" spans="1:19" x14ac:dyDescent="0.25">
      <c r="A448" t="s">
        <v>325</v>
      </c>
      <c r="B448" s="1">
        <v>43915</v>
      </c>
      <c r="C448" s="2" t="s">
        <v>225</v>
      </c>
      <c r="D448" s="3" t="s">
        <v>332</v>
      </c>
      <c r="E448" s="3"/>
      <c r="F448">
        <f>IF(ISNUMBER(SEARCH("BB",BrachyTxs[[#This Row],[Physicist(s)]])),1,0)</f>
        <v>1</v>
      </c>
      <c r="G448" s="3">
        <f>IF(ISNUMBER(SEARCH("DZ",BrachyTxs[[#This Row],[Physicist(s)]])),1,0)</f>
        <v>0</v>
      </c>
      <c r="H448" s="3">
        <f>IF(ISNUMBER(SEARCH("ZC",BrachyTxs[[#This Row],[Physicist(s)]])),1,0)</f>
        <v>0</v>
      </c>
      <c r="I448" s="3">
        <f>IF(ISNUMBER(SEARCH("DJ",BrachyTxs[[#This Row],[MD(s)]])),1,0)</f>
        <v>0</v>
      </c>
      <c r="J448" s="3">
        <f>IF(ISNUMBER(SEARCH("JS",BrachyTxs[[#This Row],[MD(s)]])),1,0)</f>
        <v>0</v>
      </c>
      <c r="K448" s="3"/>
      <c r="L448" s="3"/>
      <c r="M448" s="3"/>
      <c r="N448" s="3"/>
      <c r="O448" t="b">
        <f>ValidatePatient(BrachyTxs[[#This Row],[Pt]])</f>
        <v>1</v>
      </c>
      <c r="P448" t="b">
        <f>ValidatePhysicists(BrachyTxs[[#This Row],[Physicist(s)]])</f>
        <v>0</v>
      </c>
      <c r="Q448" t="b">
        <f>ValidateMDs(BrachyTxs[[#This Row],[MD(s)]])</f>
        <v>1</v>
      </c>
      <c r="S448" s="3"/>
    </row>
    <row r="449" spans="1:19" x14ac:dyDescent="0.25">
      <c r="A449" t="s">
        <v>325</v>
      </c>
      <c r="B449" s="1">
        <v>43921</v>
      </c>
      <c r="C449" s="2" t="s">
        <v>171</v>
      </c>
      <c r="D449" s="3" t="s">
        <v>332</v>
      </c>
      <c r="E449" s="3"/>
      <c r="F449">
        <f>IF(ISNUMBER(SEARCH("BB",BrachyTxs[[#This Row],[Physicist(s)]])),1,0)</f>
        <v>1</v>
      </c>
      <c r="G449" s="3">
        <f>IF(ISNUMBER(SEARCH("DZ",BrachyTxs[[#This Row],[Physicist(s)]])),1,0)</f>
        <v>0</v>
      </c>
      <c r="H449" s="3">
        <f>IF(ISNUMBER(SEARCH("ZC",BrachyTxs[[#This Row],[Physicist(s)]])),1,0)</f>
        <v>0</v>
      </c>
      <c r="I449" s="3">
        <f>IF(ISNUMBER(SEARCH("DJ",BrachyTxs[[#This Row],[MD(s)]])),1,0)</f>
        <v>0</v>
      </c>
      <c r="J449" s="3">
        <f>IF(ISNUMBER(SEARCH("JS",BrachyTxs[[#This Row],[MD(s)]])),1,0)</f>
        <v>0</v>
      </c>
      <c r="K449" s="3"/>
      <c r="L449" s="3"/>
      <c r="M449" s="3"/>
      <c r="N449" s="3"/>
      <c r="O449" t="b">
        <f>ValidatePatient(BrachyTxs[[#This Row],[Pt]])</f>
        <v>1</v>
      </c>
      <c r="P449" t="b">
        <f>ValidatePhysicists(BrachyTxs[[#This Row],[Physicist(s)]])</f>
        <v>0</v>
      </c>
      <c r="Q449" t="b">
        <f>ValidateMDs(BrachyTxs[[#This Row],[MD(s)]])</f>
        <v>1</v>
      </c>
      <c r="S449" s="3"/>
    </row>
    <row r="450" spans="1:19" x14ac:dyDescent="0.25">
      <c r="A450" t="s">
        <v>323</v>
      </c>
      <c r="B450" s="1">
        <v>44021</v>
      </c>
      <c r="C450" s="2" t="s">
        <v>160</v>
      </c>
      <c r="D450" s="3"/>
      <c r="E450" s="3"/>
      <c r="F450">
        <f>IF(ISNUMBER(SEARCH("BB",BrachyTxs[[#This Row],[Physicist(s)]])),1,0)</f>
        <v>0</v>
      </c>
      <c r="G450" s="3">
        <f>IF(ISNUMBER(SEARCH("DZ",BrachyTxs[[#This Row],[Physicist(s)]])),1,0)</f>
        <v>0</v>
      </c>
      <c r="H450" s="3">
        <f>IF(ISNUMBER(SEARCH("ZC",BrachyTxs[[#This Row],[Physicist(s)]])),1,0)</f>
        <v>0</v>
      </c>
      <c r="I450" s="3">
        <f>IF(ISNUMBER(SEARCH("DJ",BrachyTxs[[#This Row],[MD(s)]])),1,0)</f>
        <v>0</v>
      </c>
      <c r="J450" s="3">
        <f>IF(ISNUMBER(SEARCH("JS",BrachyTxs[[#This Row],[MD(s)]])),1,0)</f>
        <v>0</v>
      </c>
      <c r="K450" s="3"/>
      <c r="L450" s="3"/>
      <c r="M450" s="3"/>
      <c r="N450" s="3"/>
      <c r="O450" t="b">
        <f>ValidatePatient(BrachyTxs[[#This Row],[Pt]])</f>
        <v>1</v>
      </c>
      <c r="P450" t="b">
        <f>ValidatePhysicists(BrachyTxs[[#This Row],[Physicist(s)]])</f>
        <v>1</v>
      </c>
      <c r="Q450" t="b">
        <f>ValidateMDs(BrachyTxs[[#This Row],[MD(s)]])</f>
        <v>1</v>
      </c>
      <c r="S450" s="3"/>
    </row>
    <row r="451" spans="1:19" x14ac:dyDescent="0.25">
      <c r="A451" t="s">
        <v>323</v>
      </c>
      <c r="B451" s="1">
        <v>44026</v>
      </c>
      <c r="C451" s="2" t="s">
        <v>277</v>
      </c>
      <c r="D451" s="3"/>
      <c r="E451" s="3"/>
      <c r="F451">
        <f>IF(ISNUMBER(SEARCH("BB",BrachyTxs[[#This Row],[Physicist(s)]])),1,0)</f>
        <v>0</v>
      </c>
      <c r="G451" s="3">
        <f>IF(ISNUMBER(SEARCH("DZ",BrachyTxs[[#This Row],[Physicist(s)]])),1,0)</f>
        <v>0</v>
      </c>
      <c r="H451" s="3">
        <f>IF(ISNUMBER(SEARCH("ZC",BrachyTxs[[#This Row],[Physicist(s)]])),1,0)</f>
        <v>0</v>
      </c>
      <c r="I451" s="3">
        <f>IF(ISNUMBER(SEARCH("DJ",BrachyTxs[[#This Row],[MD(s)]])),1,0)</f>
        <v>0</v>
      </c>
      <c r="J451" s="3">
        <f>IF(ISNUMBER(SEARCH("JS",BrachyTxs[[#This Row],[MD(s)]])),1,0)</f>
        <v>0</v>
      </c>
      <c r="K451" s="3"/>
      <c r="L451" s="3"/>
      <c r="M451" s="3"/>
      <c r="N451" s="3"/>
      <c r="O451" t="b">
        <f>ValidatePatient(BrachyTxs[[#This Row],[Pt]])</f>
        <v>1</v>
      </c>
      <c r="P451" t="b">
        <f>ValidatePhysicists(BrachyTxs[[#This Row],[Physicist(s)]])</f>
        <v>1</v>
      </c>
      <c r="Q451" t="b">
        <f>ValidateMDs(BrachyTxs[[#This Row],[MD(s)]])</f>
        <v>1</v>
      </c>
      <c r="S451" s="3"/>
    </row>
    <row r="452" spans="1:19" x14ac:dyDescent="0.25">
      <c r="A452" t="s">
        <v>325</v>
      </c>
      <c r="B452" s="1">
        <v>44089</v>
      </c>
      <c r="C452" s="2" t="s">
        <v>63</v>
      </c>
      <c r="D452" s="3" t="s">
        <v>333</v>
      </c>
      <c r="E452" s="3"/>
      <c r="F452">
        <f>IF(ISNUMBER(SEARCH("BB",BrachyTxs[[#This Row],[Physicist(s)]])),1,0)</f>
        <v>0</v>
      </c>
      <c r="G452" s="3">
        <f>IF(ISNUMBER(SEARCH("DZ",BrachyTxs[[#This Row],[Physicist(s)]])),1,0)</f>
        <v>0</v>
      </c>
      <c r="H452" s="3">
        <f>IF(ISNUMBER(SEARCH("ZC",BrachyTxs[[#This Row],[Physicist(s)]])),1,0)</f>
        <v>1</v>
      </c>
      <c r="I452" s="3">
        <f>IF(ISNUMBER(SEARCH("DJ",BrachyTxs[[#This Row],[MD(s)]])),1,0)</f>
        <v>0</v>
      </c>
      <c r="J452" s="3">
        <f>IF(ISNUMBER(SEARCH("JS",BrachyTxs[[#This Row],[MD(s)]])),1,0)</f>
        <v>0</v>
      </c>
      <c r="K452" s="3"/>
      <c r="L452" s="3"/>
      <c r="M452" s="3"/>
      <c r="N452" s="3"/>
      <c r="O452" t="b">
        <f>ValidatePatient(BrachyTxs[[#This Row],[Pt]])</f>
        <v>1</v>
      </c>
      <c r="P452" t="b">
        <f>ValidatePhysicists(BrachyTxs[[#This Row],[Physicist(s)]])</f>
        <v>0</v>
      </c>
      <c r="Q452" t="b">
        <f>ValidateMDs(BrachyTxs[[#This Row],[MD(s)]])</f>
        <v>1</v>
      </c>
      <c r="S452" s="3"/>
    </row>
    <row r="453" spans="1:19" x14ac:dyDescent="0.25">
      <c r="A453" t="s">
        <v>326</v>
      </c>
      <c r="B453" s="1">
        <v>44103</v>
      </c>
      <c r="C453" s="2" t="s">
        <v>141</v>
      </c>
      <c r="D453" s="3" t="s">
        <v>333</v>
      </c>
      <c r="E453" s="3"/>
      <c r="F453">
        <f>IF(ISNUMBER(SEARCH("BB",BrachyTxs[[#This Row],[Physicist(s)]])),1,0)</f>
        <v>0</v>
      </c>
      <c r="G453" s="3">
        <f>IF(ISNUMBER(SEARCH("DZ",BrachyTxs[[#This Row],[Physicist(s)]])),1,0)</f>
        <v>0</v>
      </c>
      <c r="H453" s="3">
        <f>IF(ISNUMBER(SEARCH("ZC",BrachyTxs[[#This Row],[Physicist(s)]])),1,0)</f>
        <v>1</v>
      </c>
      <c r="I453" s="3">
        <f>IF(ISNUMBER(SEARCH("DJ",BrachyTxs[[#This Row],[MD(s)]])),1,0)</f>
        <v>0</v>
      </c>
      <c r="J453" s="3">
        <f>IF(ISNUMBER(SEARCH("JS",BrachyTxs[[#This Row],[MD(s)]])),1,0)</f>
        <v>0</v>
      </c>
      <c r="K453" s="3"/>
      <c r="L453" s="3"/>
      <c r="M453" s="3"/>
      <c r="N453" s="3"/>
      <c r="O453" t="b">
        <f>ValidatePatient(BrachyTxs[[#This Row],[Pt]])</f>
        <v>1</v>
      </c>
      <c r="P453" t="b">
        <f>ValidatePhysicists(BrachyTxs[[#This Row],[Physicist(s)]])</f>
        <v>0</v>
      </c>
      <c r="Q453" t="b">
        <f>ValidateMDs(BrachyTxs[[#This Row],[MD(s)]])</f>
        <v>1</v>
      </c>
      <c r="S453" s="3"/>
    </row>
    <row r="454" spans="1:19" x14ac:dyDescent="0.25">
      <c r="A454" t="s">
        <v>323</v>
      </c>
      <c r="B454" s="1">
        <v>44112</v>
      </c>
      <c r="C454" s="2" t="s">
        <v>76</v>
      </c>
      <c r="D454" s="3"/>
      <c r="E454" s="3"/>
      <c r="F454">
        <f>IF(ISNUMBER(SEARCH("BB",BrachyTxs[[#This Row],[Physicist(s)]])),1,0)</f>
        <v>0</v>
      </c>
      <c r="G454" s="3">
        <f>IF(ISNUMBER(SEARCH("DZ",BrachyTxs[[#This Row],[Physicist(s)]])),1,0)</f>
        <v>0</v>
      </c>
      <c r="H454" s="3">
        <f>IF(ISNUMBER(SEARCH("ZC",BrachyTxs[[#This Row],[Physicist(s)]])),1,0)</f>
        <v>0</v>
      </c>
      <c r="I454" s="3">
        <f>IF(ISNUMBER(SEARCH("DJ",BrachyTxs[[#This Row],[MD(s)]])),1,0)</f>
        <v>0</v>
      </c>
      <c r="J454" s="3">
        <f>IF(ISNUMBER(SEARCH("JS",BrachyTxs[[#This Row],[MD(s)]])),1,0)</f>
        <v>0</v>
      </c>
      <c r="K454" s="3"/>
      <c r="L454" s="3"/>
      <c r="M454" s="3"/>
      <c r="N454" s="3"/>
      <c r="O454" t="b">
        <f>ValidatePatient(BrachyTxs[[#This Row],[Pt]])</f>
        <v>1</v>
      </c>
      <c r="P454" t="b">
        <f>ValidatePhysicists(BrachyTxs[[#This Row],[Physicist(s)]])</f>
        <v>1</v>
      </c>
      <c r="Q454" t="b">
        <f>ValidateMDs(BrachyTxs[[#This Row],[MD(s)]])</f>
        <v>1</v>
      </c>
      <c r="S454" s="3"/>
    </row>
    <row r="455" spans="1:19" x14ac:dyDescent="0.25">
      <c r="A455" t="s">
        <v>323</v>
      </c>
      <c r="B455" s="1">
        <v>44124</v>
      </c>
      <c r="C455" s="2" t="s">
        <v>280</v>
      </c>
      <c r="D455" s="3"/>
      <c r="E455" s="3"/>
      <c r="F455">
        <f>IF(ISNUMBER(SEARCH("BB",BrachyTxs[[#This Row],[Physicist(s)]])),1,0)</f>
        <v>0</v>
      </c>
      <c r="G455" s="3">
        <f>IF(ISNUMBER(SEARCH("DZ",BrachyTxs[[#This Row],[Physicist(s)]])),1,0)</f>
        <v>0</v>
      </c>
      <c r="H455" s="3">
        <f>IF(ISNUMBER(SEARCH("ZC",BrachyTxs[[#This Row],[Physicist(s)]])),1,0)</f>
        <v>0</v>
      </c>
      <c r="I455" s="3">
        <f>IF(ISNUMBER(SEARCH("DJ",BrachyTxs[[#This Row],[MD(s)]])),1,0)</f>
        <v>0</v>
      </c>
      <c r="J455" s="3">
        <f>IF(ISNUMBER(SEARCH("JS",BrachyTxs[[#This Row],[MD(s)]])),1,0)</f>
        <v>0</v>
      </c>
      <c r="K455" s="3"/>
      <c r="L455" s="3"/>
      <c r="M455" s="3"/>
      <c r="N455" s="3"/>
      <c r="O455" t="b">
        <f>ValidatePatient(BrachyTxs[[#This Row],[Pt]])</f>
        <v>1</v>
      </c>
      <c r="P455" t="b">
        <f>ValidatePhysicists(BrachyTxs[[#This Row],[Physicist(s)]])</f>
        <v>1</v>
      </c>
      <c r="Q455" t="b">
        <f>ValidateMDs(BrachyTxs[[#This Row],[MD(s)]])</f>
        <v>1</v>
      </c>
      <c r="S455" s="3"/>
    </row>
    <row r="456" spans="1:19" x14ac:dyDescent="0.25">
      <c r="A456" t="s">
        <v>325</v>
      </c>
      <c r="B456" s="1">
        <v>44124</v>
      </c>
      <c r="C456" s="2" t="s">
        <v>298</v>
      </c>
      <c r="D456" s="3" t="s">
        <v>334</v>
      </c>
      <c r="E456" s="3" t="s">
        <v>335</v>
      </c>
      <c r="F456">
        <f>IF(ISNUMBER(SEARCH("BB",BrachyTxs[[#This Row],[Physicist(s)]])),1,0)</f>
        <v>1</v>
      </c>
      <c r="G456" s="3">
        <f>IF(ISNUMBER(SEARCH("DZ",BrachyTxs[[#This Row],[Physicist(s)]])),1,0)</f>
        <v>0</v>
      </c>
      <c r="H456" s="3">
        <f>IF(ISNUMBER(SEARCH("ZC",BrachyTxs[[#This Row],[Physicist(s)]])),1,0)</f>
        <v>1</v>
      </c>
      <c r="I456" s="3">
        <f>IF(ISNUMBER(SEARCH("DJ",BrachyTxs[[#This Row],[MD(s)]])),1,0)</f>
        <v>1</v>
      </c>
      <c r="J456" s="3">
        <f>IF(ISNUMBER(SEARCH("JS",BrachyTxs[[#This Row],[MD(s)]])),1,0)</f>
        <v>0</v>
      </c>
      <c r="K456" s="3"/>
      <c r="L456" s="3"/>
      <c r="M456" s="3"/>
      <c r="N456" s="3"/>
      <c r="O456" t="b">
        <f>ValidatePatient(BrachyTxs[[#This Row],[Pt]])</f>
        <v>1</v>
      </c>
      <c r="P456" t="b">
        <f>ValidatePhysicists(BrachyTxs[[#This Row],[Physicist(s)]])</f>
        <v>0</v>
      </c>
      <c r="Q456" t="b">
        <f>ValidateMDs(BrachyTxs[[#This Row],[MD(s)]])</f>
        <v>0</v>
      </c>
      <c r="S456" s="3"/>
    </row>
    <row r="457" spans="1:19" x14ac:dyDescent="0.25">
      <c r="A457" t="s">
        <v>326</v>
      </c>
      <c r="B457" s="1">
        <v>44131</v>
      </c>
      <c r="C457" s="2" t="s">
        <v>141</v>
      </c>
      <c r="D457" s="3" t="s">
        <v>333</v>
      </c>
      <c r="E457" s="3"/>
      <c r="F457">
        <f>IF(ISNUMBER(SEARCH("BB",BrachyTxs[[#This Row],[Physicist(s)]])),1,0)</f>
        <v>0</v>
      </c>
      <c r="G457" s="3">
        <f>IF(ISNUMBER(SEARCH("DZ",BrachyTxs[[#This Row],[Physicist(s)]])),1,0)</f>
        <v>0</v>
      </c>
      <c r="H457" s="3">
        <f>IF(ISNUMBER(SEARCH("ZC",BrachyTxs[[#This Row],[Physicist(s)]])),1,0)</f>
        <v>1</v>
      </c>
      <c r="I457" s="3">
        <f>IF(ISNUMBER(SEARCH("DJ",BrachyTxs[[#This Row],[MD(s)]])),1,0)</f>
        <v>0</v>
      </c>
      <c r="J457" s="3">
        <f>IF(ISNUMBER(SEARCH("JS",BrachyTxs[[#This Row],[MD(s)]])),1,0)</f>
        <v>0</v>
      </c>
      <c r="K457" s="3"/>
      <c r="L457" s="3"/>
      <c r="M457" s="3"/>
      <c r="N457" s="3"/>
      <c r="O457" t="b">
        <f>ValidatePatient(BrachyTxs[[#This Row],[Pt]])</f>
        <v>1</v>
      </c>
      <c r="P457" t="b">
        <f>ValidatePhysicists(BrachyTxs[[#This Row],[Physicist(s)]])</f>
        <v>0</v>
      </c>
      <c r="Q457" t="b">
        <f>ValidateMDs(BrachyTxs[[#This Row],[MD(s)]])</f>
        <v>1</v>
      </c>
      <c r="S457" s="3"/>
    </row>
    <row r="458" spans="1:19" x14ac:dyDescent="0.25">
      <c r="A458" t="s">
        <v>325</v>
      </c>
      <c r="B458" s="1">
        <v>44146</v>
      </c>
      <c r="C458" s="2" t="s">
        <v>264</v>
      </c>
      <c r="D458" s="3" t="s">
        <v>333</v>
      </c>
      <c r="E458" s="3"/>
      <c r="F458">
        <f>IF(ISNUMBER(SEARCH("BB",BrachyTxs[[#This Row],[Physicist(s)]])),1,0)</f>
        <v>0</v>
      </c>
      <c r="G458" s="3">
        <f>IF(ISNUMBER(SEARCH("DZ",BrachyTxs[[#This Row],[Physicist(s)]])),1,0)</f>
        <v>0</v>
      </c>
      <c r="H458" s="3">
        <f>IF(ISNUMBER(SEARCH("ZC",BrachyTxs[[#This Row],[Physicist(s)]])),1,0)</f>
        <v>1</v>
      </c>
      <c r="I458" s="3">
        <f>IF(ISNUMBER(SEARCH("DJ",BrachyTxs[[#This Row],[MD(s)]])),1,0)</f>
        <v>0</v>
      </c>
      <c r="J458" s="3">
        <f>IF(ISNUMBER(SEARCH("JS",BrachyTxs[[#This Row],[MD(s)]])),1,0)</f>
        <v>0</v>
      </c>
      <c r="K458" s="3"/>
      <c r="L458" s="3"/>
      <c r="M458" s="3"/>
      <c r="N458" s="3"/>
      <c r="O458" t="b">
        <f>ValidatePatient(BrachyTxs[[#This Row],[Pt]])</f>
        <v>1</v>
      </c>
      <c r="P458" t="b">
        <f>ValidatePhysicists(BrachyTxs[[#This Row],[Physicist(s)]])</f>
        <v>0</v>
      </c>
      <c r="Q458" t="b">
        <f>ValidateMDs(BrachyTxs[[#This Row],[MD(s)]])</f>
        <v>1</v>
      </c>
      <c r="S458" s="3"/>
    </row>
    <row r="459" spans="1:19" x14ac:dyDescent="0.25">
      <c r="A459" t="s">
        <v>323</v>
      </c>
      <c r="B459" s="1">
        <v>44154</v>
      </c>
      <c r="C459" s="2" t="s">
        <v>235</v>
      </c>
      <c r="D459" s="3"/>
      <c r="E459" s="3"/>
      <c r="F459">
        <f>IF(ISNUMBER(SEARCH("BB",BrachyTxs[[#This Row],[Physicist(s)]])),1,0)</f>
        <v>0</v>
      </c>
      <c r="G459" s="3">
        <f>IF(ISNUMBER(SEARCH("DZ",BrachyTxs[[#This Row],[Physicist(s)]])),1,0)</f>
        <v>0</v>
      </c>
      <c r="H459" s="3">
        <f>IF(ISNUMBER(SEARCH("ZC",BrachyTxs[[#This Row],[Physicist(s)]])),1,0)</f>
        <v>0</v>
      </c>
      <c r="I459" s="3">
        <f>IF(ISNUMBER(SEARCH("DJ",BrachyTxs[[#This Row],[MD(s)]])),1,0)</f>
        <v>0</v>
      </c>
      <c r="J459" s="3">
        <f>IF(ISNUMBER(SEARCH("JS",BrachyTxs[[#This Row],[MD(s)]])),1,0)</f>
        <v>0</v>
      </c>
      <c r="K459" s="3"/>
      <c r="L459" s="3"/>
      <c r="M459" s="3"/>
      <c r="N459" s="3"/>
      <c r="O459" t="b">
        <f>ValidatePatient(BrachyTxs[[#This Row],[Pt]])</f>
        <v>1</v>
      </c>
      <c r="P459" t="b">
        <f>ValidatePhysicists(BrachyTxs[[#This Row],[Physicist(s)]])</f>
        <v>1</v>
      </c>
      <c r="Q459" t="b">
        <f>ValidateMDs(BrachyTxs[[#This Row],[MD(s)]])</f>
        <v>1</v>
      </c>
      <c r="S459" s="3"/>
    </row>
    <row r="460" spans="1:19" x14ac:dyDescent="0.25">
      <c r="A460" t="s">
        <v>326</v>
      </c>
      <c r="B460" s="1">
        <v>44159</v>
      </c>
      <c r="C460" s="2" t="s">
        <v>141</v>
      </c>
      <c r="D460" s="3" t="s">
        <v>333</v>
      </c>
      <c r="E460" s="3"/>
      <c r="F460">
        <f>IF(ISNUMBER(SEARCH("BB",BrachyTxs[[#This Row],[Physicist(s)]])),1,0)</f>
        <v>0</v>
      </c>
      <c r="G460" s="3">
        <f>IF(ISNUMBER(SEARCH("DZ",BrachyTxs[[#This Row],[Physicist(s)]])),1,0)</f>
        <v>0</v>
      </c>
      <c r="H460" s="3">
        <f>IF(ISNUMBER(SEARCH("ZC",BrachyTxs[[#This Row],[Physicist(s)]])),1,0)</f>
        <v>1</v>
      </c>
      <c r="I460" s="3">
        <f>IF(ISNUMBER(SEARCH("DJ",BrachyTxs[[#This Row],[MD(s)]])),1,0)</f>
        <v>0</v>
      </c>
      <c r="J460" s="3">
        <f>IF(ISNUMBER(SEARCH("JS",BrachyTxs[[#This Row],[MD(s)]])),1,0)</f>
        <v>0</v>
      </c>
      <c r="K460" s="3"/>
      <c r="L460" s="3"/>
      <c r="M460" s="3"/>
      <c r="N460" s="3"/>
      <c r="O460" t="b">
        <f>ValidatePatient(BrachyTxs[[#This Row],[Pt]])</f>
        <v>1</v>
      </c>
      <c r="P460" t="b">
        <f>ValidatePhysicists(BrachyTxs[[#This Row],[Physicist(s)]])</f>
        <v>0</v>
      </c>
      <c r="Q460" t="b">
        <f>ValidateMDs(BrachyTxs[[#This Row],[MD(s)]])</f>
        <v>1</v>
      </c>
      <c r="S460" s="3"/>
    </row>
    <row r="461" spans="1:19" x14ac:dyDescent="0.25">
      <c r="A461" t="s">
        <v>326</v>
      </c>
      <c r="B461" s="1">
        <v>44187</v>
      </c>
      <c r="C461" s="2" t="s">
        <v>141</v>
      </c>
      <c r="D461" s="3" t="s">
        <v>333</v>
      </c>
      <c r="E461" s="3"/>
      <c r="F461">
        <f>IF(ISNUMBER(SEARCH("BB",BrachyTxs[[#This Row],[Physicist(s)]])),1,0)</f>
        <v>0</v>
      </c>
      <c r="G461" s="3">
        <f>IF(ISNUMBER(SEARCH("DZ",BrachyTxs[[#This Row],[Physicist(s)]])),1,0)</f>
        <v>0</v>
      </c>
      <c r="H461" s="3">
        <f>IF(ISNUMBER(SEARCH("ZC",BrachyTxs[[#This Row],[Physicist(s)]])),1,0)</f>
        <v>1</v>
      </c>
      <c r="I461" s="3">
        <f>IF(ISNUMBER(SEARCH("DJ",BrachyTxs[[#This Row],[MD(s)]])),1,0)</f>
        <v>0</v>
      </c>
      <c r="J461" s="3">
        <f>IF(ISNUMBER(SEARCH("JS",BrachyTxs[[#This Row],[MD(s)]])),1,0)</f>
        <v>0</v>
      </c>
      <c r="K461" s="3"/>
      <c r="L461" s="3"/>
      <c r="M461" s="3"/>
      <c r="N461" s="3"/>
      <c r="O461" t="b">
        <f>ValidatePatient(BrachyTxs[[#This Row],[Pt]])</f>
        <v>1</v>
      </c>
      <c r="P461" t="b">
        <f>ValidatePhysicists(BrachyTxs[[#This Row],[Physicist(s)]])</f>
        <v>0</v>
      </c>
      <c r="Q461" t="b">
        <f>ValidateMDs(BrachyTxs[[#This Row],[MD(s)]])</f>
        <v>1</v>
      </c>
      <c r="S461" s="3"/>
    </row>
    <row r="462" spans="1:19" x14ac:dyDescent="0.25">
      <c r="A462" t="s">
        <v>323</v>
      </c>
      <c r="B462" s="1">
        <v>44195</v>
      </c>
      <c r="C462" s="2" t="s">
        <v>59</v>
      </c>
      <c r="D462" s="3"/>
      <c r="E462" s="3"/>
      <c r="F462">
        <f>IF(ISNUMBER(SEARCH("BB",BrachyTxs[[#This Row],[Physicist(s)]])),1,0)</f>
        <v>0</v>
      </c>
      <c r="G462" s="3">
        <f>IF(ISNUMBER(SEARCH("DZ",BrachyTxs[[#This Row],[Physicist(s)]])),1,0)</f>
        <v>0</v>
      </c>
      <c r="H462" s="3">
        <f>IF(ISNUMBER(SEARCH("ZC",BrachyTxs[[#This Row],[Physicist(s)]])),1,0)</f>
        <v>0</v>
      </c>
      <c r="I462" s="3">
        <f>IF(ISNUMBER(SEARCH("DJ",BrachyTxs[[#This Row],[MD(s)]])),1,0)</f>
        <v>0</v>
      </c>
      <c r="J462" s="3">
        <f>IF(ISNUMBER(SEARCH("JS",BrachyTxs[[#This Row],[MD(s)]])),1,0)</f>
        <v>0</v>
      </c>
      <c r="K462" s="3"/>
      <c r="L462" s="3"/>
      <c r="M462" s="3"/>
      <c r="N462" s="3"/>
      <c r="O462" t="b">
        <f>ValidatePatient(BrachyTxs[[#This Row],[Pt]])</f>
        <v>1</v>
      </c>
      <c r="P462" t="b">
        <f>ValidatePhysicists(BrachyTxs[[#This Row],[Physicist(s)]])</f>
        <v>1</v>
      </c>
      <c r="Q462" t="b">
        <f>ValidateMDs(BrachyTxs[[#This Row],[MD(s)]])</f>
        <v>1</v>
      </c>
      <c r="S462" s="3"/>
    </row>
    <row r="463" spans="1:19" x14ac:dyDescent="0.25">
      <c r="A463" t="s">
        <v>323</v>
      </c>
      <c r="B463" s="1">
        <v>44200</v>
      </c>
      <c r="C463" s="2" t="s">
        <v>316</v>
      </c>
      <c r="D463" s="3"/>
      <c r="E463" s="3"/>
      <c r="F463">
        <f>IF(ISNUMBER(SEARCH("BB",BrachyTxs[[#This Row],[Physicist(s)]])),1,0)</f>
        <v>0</v>
      </c>
      <c r="G463" s="3">
        <f>IF(ISNUMBER(SEARCH("DZ",BrachyTxs[[#This Row],[Physicist(s)]])),1,0)</f>
        <v>0</v>
      </c>
      <c r="H463" s="3">
        <f>IF(ISNUMBER(SEARCH("ZC",BrachyTxs[[#This Row],[Physicist(s)]])),1,0)</f>
        <v>0</v>
      </c>
      <c r="I463" s="3">
        <f>IF(ISNUMBER(SEARCH("DJ",BrachyTxs[[#This Row],[MD(s)]])),1,0)</f>
        <v>0</v>
      </c>
      <c r="J463" s="3">
        <f>IF(ISNUMBER(SEARCH("JS",BrachyTxs[[#This Row],[MD(s)]])),1,0)</f>
        <v>0</v>
      </c>
      <c r="K463" s="3"/>
      <c r="L463" s="3"/>
      <c r="M463" s="3"/>
      <c r="N463" s="3"/>
      <c r="O463" t="b">
        <f>ValidatePatient(BrachyTxs[[#This Row],[Pt]])</f>
        <v>1</v>
      </c>
      <c r="P463" t="b">
        <f>ValidatePhysicists(BrachyTxs[[#This Row],[Physicist(s)]])</f>
        <v>1</v>
      </c>
      <c r="Q463" t="b">
        <f>ValidateMDs(BrachyTxs[[#This Row],[MD(s)]])</f>
        <v>1</v>
      </c>
      <c r="S463" s="3"/>
    </row>
    <row r="464" spans="1:19" x14ac:dyDescent="0.25">
      <c r="A464" t="s">
        <v>323</v>
      </c>
      <c r="B464" s="1">
        <v>44201</v>
      </c>
      <c r="C464" s="2" t="s">
        <v>315</v>
      </c>
      <c r="D464" s="3"/>
      <c r="E464" s="3"/>
      <c r="F464">
        <f>IF(ISNUMBER(SEARCH("BB",BrachyTxs[[#This Row],[Physicist(s)]])),1,0)</f>
        <v>0</v>
      </c>
      <c r="G464" s="3">
        <f>IF(ISNUMBER(SEARCH("DZ",BrachyTxs[[#This Row],[Physicist(s)]])),1,0)</f>
        <v>0</v>
      </c>
      <c r="H464" s="3">
        <f>IF(ISNUMBER(SEARCH("ZC",BrachyTxs[[#This Row],[Physicist(s)]])),1,0)</f>
        <v>0</v>
      </c>
      <c r="I464" s="3">
        <f>IF(ISNUMBER(SEARCH("DJ",BrachyTxs[[#This Row],[MD(s)]])),1,0)</f>
        <v>0</v>
      </c>
      <c r="J464" s="3">
        <f>IF(ISNUMBER(SEARCH("JS",BrachyTxs[[#This Row],[MD(s)]])),1,0)</f>
        <v>0</v>
      </c>
      <c r="K464" s="3"/>
      <c r="L464" s="3"/>
      <c r="M464" s="3"/>
      <c r="N464" s="3"/>
      <c r="O464" t="b">
        <f>ValidatePatient(BrachyTxs[[#This Row],[Pt]])</f>
        <v>1</v>
      </c>
      <c r="P464" t="b">
        <f>ValidatePhysicists(BrachyTxs[[#This Row],[Physicist(s)]])</f>
        <v>1</v>
      </c>
      <c r="Q464" t="b">
        <f>ValidateMDs(BrachyTxs[[#This Row],[MD(s)]])</f>
        <v>1</v>
      </c>
      <c r="S464" s="3"/>
    </row>
    <row r="465" spans="1:19" x14ac:dyDescent="0.25">
      <c r="A465" t="s">
        <v>325</v>
      </c>
      <c r="B465" s="1">
        <v>44208</v>
      </c>
      <c r="C465" s="2" t="s">
        <v>40</v>
      </c>
      <c r="D465" s="3" t="s">
        <v>333</v>
      </c>
      <c r="E465" s="3" t="s">
        <v>335</v>
      </c>
      <c r="F465">
        <f>IF(ISNUMBER(SEARCH("BB",BrachyTxs[[#This Row],[Physicist(s)]])),1,0)</f>
        <v>0</v>
      </c>
      <c r="G465" s="3">
        <f>IF(ISNUMBER(SEARCH("DZ",BrachyTxs[[#This Row],[Physicist(s)]])),1,0)</f>
        <v>0</v>
      </c>
      <c r="H465" s="3">
        <f>IF(ISNUMBER(SEARCH("ZC",BrachyTxs[[#This Row],[Physicist(s)]])),1,0)</f>
        <v>1</v>
      </c>
      <c r="I465" s="3">
        <f>IF(ISNUMBER(SEARCH("DJ",BrachyTxs[[#This Row],[MD(s)]])),1,0)</f>
        <v>1</v>
      </c>
      <c r="J465" s="3">
        <f>IF(ISNUMBER(SEARCH("JS",BrachyTxs[[#This Row],[MD(s)]])),1,0)</f>
        <v>0</v>
      </c>
      <c r="K465" s="3"/>
      <c r="L465" s="3"/>
      <c r="M465" s="3"/>
      <c r="N465" s="3"/>
      <c r="O465" t="b">
        <f>ValidatePatient(BrachyTxs[[#This Row],[Pt]])</f>
        <v>1</v>
      </c>
      <c r="P465" t="b">
        <f>ValidatePhysicists(BrachyTxs[[#This Row],[Physicist(s)]])</f>
        <v>0</v>
      </c>
      <c r="Q465" t="b">
        <f>ValidateMDs(BrachyTxs[[#This Row],[MD(s)]])</f>
        <v>0</v>
      </c>
      <c r="S465" s="3"/>
    </row>
    <row r="466" spans="1:19" x14ac:dyDescent="0.25">
      <c r="A466" t="s">
        <v>326</v>
      </c>
      <c r="B466" s="1">
        <v>44252</v>
      </c>
      <c r="C466" s="2" t="s">
        <v>274</v>
      </c>
      <c r="D466" s="3" t="s">
        <v>334</v>
      </c>
      <c r="E466" s="3" t="s">
        <v>335</v>
      </c>
      <c r="F466">
        <f>IF(ISNUMBER(SEARCH("BB",BrachyTxs[[#This Row],[Physicist(s)]])),1,0)</f>
        <v>1</v>
      </c>
      <c r="G466" s="3">
        <f>IF(ISNUMBER(SEARCH("DZ",BrachyTxs[[#This Row],[Physicist(s)]])),1,0)</f>
        <v>0</v>
      </c>
      <c r="H466" s="3">
        <f>IF(ISNUMBER(SEARCH("ZC",BrachyTxs[[#This Row],[Physicist(s)]])),1,0)</f>
        <v>1</v>
      </c>
      <c r="I466" s="3">
        <f>IF(ISNUMBER(SEARCH("DJ",BrachyTxs[[#This Row],[MD(s)]])),1,0)</f>
        <v>1</v>
      </c>
      <c r="J466" s="3">
        <f>IF(ISNUMBER(SEARCH("JS",BrachyTxs[[#This Row],[MD(s)]])),1,0)</f>
        <v>0</v>
      </c>
      <c r="K466" s="3"/>
      <c r="L466" s="3"/>
      <c r="M466" s="3"/>
      <c r="N466" s="3"/>
      <c r="O466" t="b">
        <f>ValidatePatient(BrachyTxs[[#This Row],[Pt]])</f>
        <v>1</v>
      </c>
      <c r="P466" t="b">
        <f>ValidatePhysicists(BrachyTxs[[#This Row],[Physicist(s)]])</f>
        <v>0</v>
      </c>
      <c r="Q466" t="b">
        <f>ValidateMDs(BrachyTxs[[#This Row],[MD(s)]])</f>
        <v>0</v>
      </c>
      <c r="S466" s="3"/>
    </row>
    <row r="467" spans="1:19" x14ac:dyDescent="0.25">
      <c r="A467" t="s">
        <v>326</v>
      </c>
      <c r="B467" s="1">
        <v>44252</v>
      </c>
      <c r="C467" s="2" t="s">
        <v>116</v>
      </c>
      <c r="D467" s="3" t="s">
        <v>334</v>
      </c>
      <c r="E467" s="3"/>
      <c r="F467">
        <f>IF(ISNUMBER(SEARCH("BB",BrachyTxs[[#This Row],[Physicist(s)]])),1,0)</f>
        <v>1</v>
      </c>
      <c r="G467" s="3">
        <f>IF(ISNUMBER(SEARCH("DZ",BrachyTxs[[#This Row],[Physicist(s)]])),1,0)</f>
        <v>0</v>
      </c>
      <c r="H467" s="3">
        <f>IF(ISNUMBER(SEARCH("ZC",BrachyTxs[[#This Row],[Physicist(s)]])),1,0)</f>
        <v>1</v>
      </c>
      <c r="I467" s="3">
        <f>IF(ISNUMBER(SEARCH("DJ",BrachyTxs[[#This Row],[MD(s)]])),1,0)</f>
        <v>0</v>
      </c>
      <c r="J467" s="3">
        <f>IF(ISNUMBER(SEARCH("JS",BrachyTxs[[#This Row],[MD(s)]])),1,0)</f>
        <v>0</v>
      </c>
      <c r="K467" s="3"/>
      <c r="L467" s="3"/>
      <c r="M467" s="3"/>
      <c r="N467" s="3"/>
      <c r="O467" t="b">
        <f>ValidatePatient(BrachyTxs[[#This Row],[Pt]])</f>
        <v>1</v>
      </c>
      <c r="P467" t="b">
        <f>ValidatePhysicists(BrachyTxs[[#This Row],[Physicist(s)]])</f>
        <v>0</v>
      </c>
      <c r="Q467" t="b">
        <f>ValidateMDs(BrachyTxs[[#This Row],[MD(s)]])</f>
        <v>1</v>
      </c>
      <c r="S467" s="3"/>
    </row>
    <row r="468" spans="1:19" x14ac:dyDescent="0.25">
      <c r="A468" t="s">
        <v>323</v>
      </c>
      <c r="B468" s="1">
        <v>44257</v>
      </c>
      <c r="C468" s="2" t="s">
        <v>245</v>
      </c>
      <c r="D468" s="3"/>
      <c r="E468" s="3"/>
      <c r="F468">
        <f>IF(ISNUMBER(SEARCH("BB",BrachyTxs[[#This Row],[Physicist(s)]])),1,0)</f>
        <v>0</v>
      </c>
      <c r="G468" s="3">
        <f>IF(ISNUMBER(SEARCH("DZ",BrachyTxs[[#This Row],[Physicist(s)]])),1,0)</f>
        <v>0</v>
      </c>
      <c r="H468" s="3">
        <f>IF(ISNUMBER(SEARCH("ZC",BrachyTxs[[#This Row],[Physicist(s)]])),1,0)</f>
        <v>0</v>
      </c>
      <c r="I468" s="3">
        <f>IF(ISNUMBER(SEARCH("DJ",BrachyTxs[[#This Row],[MD(s)]])),1,0)</f>
        <v>0</v>
      </c>
      <c r="J468" s="3">
        <f>IF(ISNUMBER(SEARCH("JS",BrachyTxs[[#This Row],[MD(s)]])),1,0)</f>
        <v>0</v>
      </c>
      <c r="K468" s="3"/>
      <c r="L468" s="3"/>
      <c r="M468" s="3"/>
      <c r="N468" s="3"/>
      <c r="O468" t="b">
        <f>ValidatePatient(BrachyTxs[[#This Row],[Pt]])</f>
        <v>1</v>
      </c>
      <c r="P468" t="b">
        <f>ValidatePhysicists(BrachyTxs[[#This Row],[Physicist(s)]])</f>
        <v>1</v>
      </c>
      <c r="Q468" t="b">
        <f>ValidateMDs(BrachyTxs[[#This Row],[MD(s)]])</f>
        <v>1</v>
      </c>
      <c r="S468" s="3"/>
    </row>
    <row r="469" spans="1:19" x14ac:dyDescent="0.25">
      <c r="A469" t="s">
        <v>326</v>
      </c>
      <c r="B469" s="1">
        <v>44264</v>
      </c>
      <c r="C469" s="2" t="s">
        <v>220</v>
      </c>
      <c r="D469" s="3" t="s">
        <v>333</v>
      </c>
      <c r="E469" s="3" t="s">
        <v>335</v>
      </c>
      <c r="F469">
        <f>IF(ISNUMBER(SEARCH("BB",BrachyTxs[[#This Row],[Physicist(s)]])),1,0)</f>
        <v>0</v>
      </c>
      <c r="G469" s="3">
        <f>IF(ISNUMBER(SEARCH("DZ",BrachyTxs[[#This Row],[Physicist(s)]])),1,0)</f>
        <v>0</v>
      </c>
      <c r="H469" s="3">
        <f>IF(ISNUMBER(SEARCH("ZC",BrachyTxs[[#This Row],[Physicist(s)]])),1,0)</f>
        <v>1</v>
      </c>
      <c r="I469" s="3">
        <f>IF(ISNUMBER(SEARCH("DJ",BrachyTxs[[#This Row],[MD(s)]])),1,0)</f>
        <v>1</v>
      </c>
      <c r="J469" s="3">
        <f>IF(ISNUMBER(SEARCH("JS",BrachyTxs[[#This Row],[MD(s)]])),1,0)</f>
        <v>0</v>
      </c>
      <c r="K469" s="3"/>
      <c r="L469" s="3"/>
      <c r="M469" s="3"/>
      <c r="N469" s="3"/>
      <c r="O469" t="b">
        <f>ValidatePatient(BrachyTxs[[#This Row],[Pt]])</f>
        <v>1</v>
      </c>
      <c r="P469" t="b">
        <f>ValidatePhysicists(BrachyTxs[[#This Row],[Physicist(s)]])</f>
        <v>0</v>
      </c>
      <c r="Q469" t="b">
        <f>ValidateMDs(BrachyTxs[[#This Row],[MD(s)]])</f>
        <v>0</v>
      </c>
      <c r="S469" s="3"/>
    </row>
    <row r="470" spans="1:19" x14ac:dyDescent="0.25">
      <c r="A470" t="s">
        <v>326</v>
      </c>
      <c r="B470" s="1">
        <v>44280</v>
      </c>
      <c r="C470" s="2" t="s">
        <v>274</v>
      </c>
      <c r="D470" s="3" t="s">
        <v>334</v>
      </c>
      <c r="E470" s="3" t="s">
        <v>335</v>
      </c>
      <c r="F470">
        <f>IF(ISNUMBER(SEARCH("BB",BrachyTxs[[#This Row],[Physicist(s)]])),1,0)</f>
        <v>1</v>
      </c>
      <c r="G470" s="3">
        <f>IF(ISNUMBER(SEARCH("DZ",BrachyTxs[[#This Row],[Physicist(s)]])),1,0)</f>
        <v>0</v>
      </c>
      <c r="H470" s="3">
        <f>IF(ISNUMBER(SEARCH("ZC",BrachyTxs[[#This Row],[Physicist(s)]])),1,0)</f>
        <v>1</v>
      </c>
      <c r="I470" s="3">
        <f>IF(ISNUMBER(SEARCH("DJ",BrachyTxs[[#This Row],[MD(s)]])),1,0)</f>
        <v>1</v>
      </c>
      <c r="J470" s="3">
        <f>IF(ISNUMBER(SEARCH("JS",BrachyTxs[[#This Row],[MD(s)]])),1,0)</f>
        <v>0</v>
      </c>
      <c r="K470" s="3"/>
      <c r="L470" s="3"/>
      <c r="M470" s="3"/>
      <c r="N470" s="3"/>
      <c r="O470" t="b">
        <f>ValidatePatient(BrachyTxs[[#This Row],[Pt]])</f>
        <v>1</v>
      </c>
      <c r="P470" t="b">
        <f>ValidatePhysicists(BrachyTxs[[#This Row],[Physicist(s)]])</f>
        <v>0</v>
      </c>
      <c r="Q470" t="b">
        <f>ValidateMDs(BrachyTxs[[#This Row],[MD(s)]])</f>
        <v>0</v>
      </c>
      <c r="S470" s="3"/>
    </row>
    <row r="471" spans="1:19" x14ac:dyDescent="0.25">
      <c r="A471" t="s">
        <v>325</v>
      </c>
      <c r="B471" s="1">
        <v>44293</v>
      </c>
      <c r="C471" s="2" t="s">
        <v>115</v>
      </c>
      <c r="D471" s="3" t="s">
        <v>334</v>
      </c>
      <c r="E471" s="3" t="s">
        <v>335</v>
      </c>
      <c r="F471">
        <f>IF(ISNUMBER(SEARCH("BB",BrachyTxs[[#This Row],[Physicist(s)]])),1,0)</f>
        <v>1</v>
      </c>
      <c r="G471" s="3">
        <f>IF(ISNUMBER(SEARCH("DZ",BrachyTxs[[#This Row],[Physicist(s)]])),1,0)</f>
        <v>0</v>
      </c>
      <c r="H471" s="3">
        <f>IF(ISNUMBER(SEARCH("ZC",BrachyTxs[[#This Row],[Physicist(s)]])),1,0)</f>
        <v>1</v>
      </c>
      <c r="I471" s="3">
        <f>IF(ISNUMBER(SEARCH("DJ",BrachyTxs[[#This Row],[MD(s)]])),1,0)</f>
        <v>1</v>
      </c>
      <c r="J471" s="3">
        <f>IF(ISNUMBER(SEARCH("JS",BrachyTxs[[#This Row],[MD(s)]])),1,0)</f>
        <v>0</v>
      </c>
      <c r="K471" s="3"/>
      <c r="L471" s="3"/>
      <c r="M471" s="3"/>
      <c r="N471" s="3"/>
      <c r="O471" t="b">
        <f>ValidatePatient(BrachyTxs[[#This Row],[Pt]])</f>
        <v>1</v>
      </c>
      <c r="P471" t="b">
        <f>ValidatePhysicists(BrachyTxs[[#This Row],[Physicist(s)]])</f>
        <v>0</v>
      </c>
      <c r="Q471" t="b">
        <f>ValidateMDs(BrachyTxs[[#This Row],[MD(s)]])</f>
        <v>0</v>
      </c>
      <c r="S471" s="3"/>
    </row>
    <row r="472" spans="1:19" x14ac:dyDescent="0.25">
      <c r="A472" t="s">
        <v>326</v>
      </c>
      <c r="B472" s="1">
        <v>44294</v>
      </c>
      <c r="C472" s="2" t="s">
        <v>116</v>
      </c>
      <c r="D472" s="3" t="s">
        <v>334</v>
      </c>
      <c r="E472" s="3"/>
      <c r="F472">
        <f>IF(ISNUMBER(SEARCH("BB",BrachyTxs[[#This Row],[Physicist(s)]])),1,0)</f>
        <v>1</v>
      </c>
      <c r="G472" s="3">
        <f>IF(ISNUMBER(SEARCH("DZ",BrachyTxs[[#This Row],[Physicist(s)]])),1,0)</f>
        <v>0</v>
      </c>
      <c r="H472" s="3">
        <f>IF(ISNUMBER(SEARCH("ZC",BrachyTxs[[#This Row],[Physicist(s)]])),1,0)</f>
        <v>1</v>
      </c>
      <c r="I472" s="3">
        <f>IF(ISNUMBER(SEARCH("DJ",BrachyTxs[[#This Row],[MD(s)]])),1,0)</f>
        <v>0</v>
      </c>
      <c r="J472" s="3">
        <f>IF(ISNUMBER(SEARCH("JS",BrachyTxs[[#This Row],[MD(s)]])),1,0)</f>
        <v>0</v>
      </c>
      <c r="K472" s="3"/>
      <c r="L472" s="3"/>
      <c r="M472" s="3"/>
      <c r="N472" s="3"/>
      <c r="O472" t="b">
        <f>ValidatePatient(BrachyTxs[[#This Row],[Pt]])</f>
        <v>1</v>
      </c>
      <c r="P472" t="b">
        <f>ValidatePhysicists(BrachyTxs[[#This Row],[Physicist(s)]])</f>
        <v>0</v>
      </c>
      <c r="Q472" t="b">
        <f>ValidateMDs(BrachyTxs[[#This Row],[MD(s)]])</f>
        <v>1</v>
      </c>
      <c r="S472" s="3"/>
    </row>
    <row r="473" spans="1:19" x14ac:dyDescent="0.25">
      <c r="A473" t="s">
        <v>323</v>
      </c>
      <c r="B473" s="1">
        <v>44300</v>
      </c>
      <c r="C473" s="2" t="s">
        <v>165</v>
      </c>
      <c r="D473" s="3"/>
      <c r="E473" s="3"/>
      <c r="F473">
        <f>IF(ISNUMBER(SEARCH("BB",BrachyTxs[[#This Row],[Physicist(s)]])),1,0)</f>
        <v>0</v>
      </c>
      <c r="G473" s="3">
        <f>IF(ISNUMBER(SEARCH("DZ",BrachyTxs[[#This Row],[Physicist(s)]])),1,0)</f>
        <v>0</v>
      </c>
      <c r="H473" s="3">
        <f>IF(ISNUMBER(SEARCH("ZC",BrachyTxs[[#This Row],[Physicist(s)]])),1,0)</f>
        <v>0</v>
      </c>
      <c r="I473" s="3">
        <f>IF(ISNUMBER(SEARCH("DJ",BrachyTxs[[#This Row],[MD(s)]])),1,0)</f>
        <v>0</v>
      </c>
      <c r="J473" s="3">
        <f>IF(ISNUMBER(SEARCH("JS",BrachyTxs[[#This Row],[MD(s)]])),1,0)</f>
        <v>0</v>
      </c>
      <c r="K473" s="3"/>
      <c r="L473" s="3"/>
      <c r="M473" s="3"/>
      <c r="N473" s="3"/>
      <c r="O473" t="b">
        <f>ValidatePatient(BrachyTxs[[#This Row],[Pt]])</f>
        <v>1</v>
      </c>
      <c r="P473" t="b">
        <f>ValidatePhysicists(BrachyTxs[[#This Row],[Physicist(s)]])</f>
        <v>1</v>
      </c>
      <c r="Q473" t="b">
        <f>ValidateMDs(BrachyTxs[[#This Row],[MD(s)]])</f>
        <v>1</v>
      </c>
      <c r="S473" s="3"/>
    </row>
    <row r="474" spans="1:19" x14ac:dyDescent="0.25">
      <c r="A474" t="s">
        <v>326</v>
      </c>
      <c r="B474" s="1">
        <v>44309</v>
      </c>
      <c r="C474" s="2" t="s">
        <v>274</v>
      </c>
      <c r="D474" s="3" t="s">
        <v>334</v>
      </c>
      <c r="E474" s="3" t="s">
        <v>335</v>
      </c>
      <c r="F474">
        <f>IF(ISNUMBER(SEARCH("BB",BrachyTxs[[#This Row],[Physicist(s)]])),1,0)</f>
        <v>1</v>
      </c>
      <c r="G474" s="3">
        <f>IF(ISNUMBER(SEARCH("DZ",BrachyTxs[[#This Row],[Physicist(s)]])),1,0)</f>
        <v>0</v>
      </c>
      <c r="H474" s="3">
        <f>IF(ISNUMBER(SEARCH("ZC",BrachyTxs[[#This Row],[Physicist(s)]])),1,0)</f>
        <v>1</v>
      </c>
      <c r="I474" s="3">
        <f>IF(ISNUMBER(SEARCH("DJ",BrachyTxs[[#This Row],[MD(s)]])),1,0)</f>
        <v>1</v>
      </c>
      <c r="J474" s="3">
        <f>IF(ISNUMBER(SEARCH("JS",BrachyTxs[[#This Row],[MD(s)]])),1,0)</f>
        <v>0</v>
      </c>
      <c r="K474" s="3"/>
      <c r="L474" s="3"/>
      <c r="M474" s="3"/>
      <c r="N474" s="3"/>
      <c r="O474" t="b">
        <f>ValidatePatient(BrachyTxs[[#This Row],[Pt]])</f>
        <v>1</v>
      </c>
      <c r="P474" t="b">
        <f>ValidatePhysicists(BrachyTxs[[#This Row],[Physicist(s)]])</f>
        <v>0</v>
      </c>
      <c r="Q474" t="b">
        <f>ValidateMDs(BrachyTxs[[#This Row],[MD(s)]])</f>
        <v>0</v>
      </c>
      <c r="S474" s="3"/>
    </row>
    <row r="475" spans="1:19" x14ac:dyDescent="0.25">
      <c r="A475" t="s">
        <v>326</v>
      </c>
      <c r="B475" s="1">
        <v>44336</v>
      </c>
      <c r="C475" s="2" t="s">
        <v>274</v>
      </c>
      <c r="D475" s="3" t="s">
        <v>334</v>
      </c>
      <c r="E475" s="3" t="s">
        <v>335</v>
      </c>
      <c r="F475">
        <f>IF(ISNUMBER(SEARCH("BB",BrachyTxs[[#This Row],[Physicist(s)]])),1,0)</f>
        <v>1</v>
      </c>
      <c r="G475" s="3">
        <f>IF(ISNUMBER(SEARCH("DZ",BrachyTxs[[#This Row],[Physicist(s)]])),1,0)</f>
        <v>0</v>
      </c>
      <c r="H475" s="3">
        <f>IF(ISNUMBER(SEARCH("ZC",BrachyTxs[[#This Row],[Physicist(s)]])),1,0)</f>
        <v>1</v>
      </c>
      <c r="I475" s="3">
        <f>IF(ISNUMBER(SEARCH("DJ",BrachyTxs[[#This Row],[MD(s)]])),1,0)</f>
        <v>1</v>
      </c>
      <c r="J475" s="3">
        <f>IF(ISNUMBER(SEARCH("JS",BrachyTxs[[#This Row],[MD(s)]])),1,0)</f>
        <v>0</v>
      </c>
      <c r="K475" s="3"/>
      <c r="L475" s="3"/>
      <c r="M475" s="3"/>
      <c r="N475" s="3"/>
      <c r="O475" t="b">
        <f>ValidatePatient(BrachyTxs[[#This Row],[Pt]])</f>
        <v>1</v>
      </c>
      <c r="P475" t="b">
        <f>ValidatePhysicists(BrachyTxs[[#This Row],[Physicist(s)]])</f>
        <v>0</v>
      </c>
      <c r="Q475" t="b">
        <f>ValidateMDs(BrachyTxs[[#This Row],[MD(s)]])</f>
        <v>0</v>
      </c>
      <c r="S475" s="3"/>
    </row>
    <row r="476" spans="1:19" x14ac:dyDescent="0.25">
      <c r="A476" t="s">
        <v>326</v>
      </c>
      <c r="B476" s="1">
        <v>44364</v>
      </c>
      <c r="C476" s="2" t="s">
        <v>274</v>
      </c>
      <c r="D476" s="3" t="s">
        <v>334</v>
      </c>
      <c r="E476" s="3" t="s">
        <v>335</v>
      </c>
      <c r="F476">
        <f>IF(ISNUMBER(SEARCH("BB",BrachyTxs[[#This Row],[Physicist(s)]])),1,0)</f>
        <v>1</v>
      </c>
      <c r="G476" s="3">
        <f>IF(ISNUMBER(SEARCH("DZ",BrachyTxs[[#This Row],[Physicist(s)]])),1,0)</f>
        <v>0</v>
      </c>
      <c r="H476" s="3">
        <f>IF(ISNUMBER(SEARCH("ZC",BrachyTxs[[#This Row],[Physicist(s)]])),1,0)</f>
        <v>1</v>
      </c>
      <c r="I476" s="3">
        <f>IF(ISNUMBER(SEARCH("DJ",BrachyTxs[[#This Row],[MD(s)]])),1,0)</f>
        <v>1</v>
      </c>
      <c r="J476" s="3">
        <f>IF(ISNUMBER(SEARCH("JS",BrachyTxs[[#This Row],[MD(s)]])),1,0)</f>
        <v>0</v>
      </c>
      <c r="K476" s="3"/>
      <c r="L476" s="3"/>
      <c r="M476" s="3"/>
      <c r="N476" s="3"/>
      <c r="O476" t="b">
        <f>ValidatePatient(BrachyTxs[[#This Row],[Pt]])</f>
        <v>1</v>
      </c>
      <c r="P476" t="b">
        <f>ValidatePhysicists(BrachyTxs[[#This Row],[Physicist(s)]])</f>
        <v>0</v>
      </c>
      <c r="Q476" t="b">
        <f>ValidateMDs(BrachyTxs[[#This Row],[MD(s)]])</f>
        <v>0</v>
      </c>
      <c r="S476" s="3"/>
    </row>
    <row r="477" spans="1:19" x14ac:dyDescent="0.25">
      <c r="A477" t="s">
        <v>323</v>
      </c>
      <c r="B477" s="1">
        <v>44368</v>
      </c>
      <c r="C477" s="2" t="s">
        <v>204</v>
      </c>
      <c r="D477" s="3"/>
      <c r="E477" s="3"/>
      <c r="F477">
        <f>IF(ISNUMBER(SEARCH("BB",BrachyTxs[[#This Row],[Physicist(s)]])),1,0)</f>
        <v>0</v>
      </c>
      <c r="G477" s="3">
        <f>IF(ISNUMBER(SEARCH("DZ",BrachyTxs[[#This Row],[Physicist(s)]])),1,0)</f>
        <v>0</v>
      </c>
      <c r="H477" s="3">
        <f>IF(ISNUMBER(SEARCH("ZC",BrachyTxs[[#This Row],[Physicist(s)]])),1,0)</f>
        <v>0</v>
      </c>
      <c r="I477" s="3">
        <f>IF(ISNUMBER(SEARCH("DJ",BrachyTxs[[#This Row],[MD(s)]])),1,0)</f>
        <v>0</v>
      </c>
      <c r="J477" s="3">
        <f>IF(ISNUMBER(SEARCH("JS",BrachyTxs[[#This Row],[MD(s)]])),1,0)</f>
        <v>0</v>
      </c>
      <c r="K477" s="3"/>
      <c r="L477" s="3"/>
      <c r="M477" s="3"/>
      <c r="N477" s="3"/>
      <c r="O477" t="b">
        <f>ValidatePatient(BrachyTxs[[#This Row],[Pt]])</f>
        <v>1</v>
      </c>
      <c r="P477" t="b">
        <f>ValidatePhysicists(BrachyTxs[[#This Row],[Physicist(s)]])</f>
        <v>1</v>
      </c>
      <c r="Q477" t="b">
        <f>ValidateMDs(BrachyTxs[[#This Row],[MD(s)]])</f>
        <v>1</v>
      </c>
      <c r="S477" s="3"/>
    </row>
    <row r="478" spans="1:19" x14ac:dyDescent="0.25">
      <c r="A478" t="s">
        <v>323</v>
      </c>
      <c r="B478" s="1">
        <v>44434</v>
      </c>
      <c r="C478" s="2" t="s">
        <v>158</v>
      </c>
      <c r="D478" s="3"/>
      <c r="E478" s="3"/>
      <c r="F478">
        <f>IF(ISNUMBER(SEARCH("BB",BrachyTxs[[#This Row],[Physicist(s)]])),1,0)</f>
        <v>0</v>
      </c>
      <c r="G478" s="3">
        <f>IF(ISNUMBER(SEARCH("DZ",BrachyTxs[[#This Row],[Physicist(s)]])),1,0)</f>
        <v>0</v>
      </c>
      <c r="H478" s="3">
        <f>IF(ISNUMBER(SEARCH("ZC",BrachyTxs[[#This Row],[Physicist(s)]])),1,0)</f>
        <v>0</v>
      </c>
      <c r="I478" s="3">
        <f>IF(ISNUMBER(SEARCH("DJ",BrachyTxs[[#This Row],[MD(s)]])),1,0)</f>
        <v>0</v>
      </c>
      <c r="J478" s="3">
        <f>IF(ISNUMBER(SEARCH("JS",BrachyTxs[[#This Row],[MD(s)]])),1,0)</f>
        <v>0</v>
      </c>
      <c r="K478" s="3"/>
      <c r="L478" s="3"/>
      <c r="M478" s="3"/>
      <c r="N478" s="3"/>
      <c r="O478" t="b">
        <f>ValidatePatient(BrachyTxs[[#This Row],[Pt]])</f>
        <v>1</v>
      </c>
      <c r="P478" t="b">
        <f>ValidatePhysicists(BrachyTxs[[#This Row],[Physicist(s)]])</f>
        <v>1</v>
      </c>
      <c r="Q478" t="b">
        <f>ValidateMDs(BrachyTxs[[#This Row],[MD(s)]])</f>
        <v>1</v>
      </c>
      <c r="S478" s="3"/>
    </row>
    <row r="479" spans="1:19" x14ac:dyDescent="0.25">
      <c r="A479" t="s">
        <v>323</v>
      </c>
      <c r="B479" s="1">
        <v>44440</v>
      </c>
      <c r="C479" s="2" t="s">
        <v>229</v>
      </c>
      <c r="D479" s="3"/>
      <c r="E479" s="3"/>
      <c r="F479">
        <f>IF(ISNUMBER(SEARCH("BB",BrachyTxs[[#This Row],[Physicist(s)]])),1,0)</f>
        <v>0</v>
      </c>
      <c r="G479" s="3">
        <f>IF(ISNUMBER(SEARCH("DZ",BrachyTxs[[#This Row],[Physicist(s)]])),1,0)</f>
        <v>0</v>
      </c>
      <c r="H479" s="3">
        <f>IF(ISNUMBER(SEARCH("ZC",BrachyTxs[[#This Row],[Physicist(s)]])),1,0)</f>
        <v>0</v>
      </c>
      <c r="I479" s="3">
        <f>IF(ISNUMBER(SEARCH("DJ",BrachyTxs[[#This Row],[MD(s)]])),1,0)</f>
        <v>0</v>
      </c>
      <c r="J479" s="3">
        <f>IF(ISNUMBER(SEARCH("JS",BrachyTxs[[#This Row],[MD(s)]])),1,0)</f>
        <v>0</v>
      </c>
      <c r="K479" s="3"/>
      <c r="L479" s="3"/>
      <c r="M479" s="3"/>
      <c r="N479" s="3"/>
      <c r="O479" t="b">
        <f>ValidatePatient(BrachyTxs[[#This Row],[Pt]])</f>
        <v>1</v>
      </c>
      <c r="P479" t="b">
        <f>ValidatePhysicists(BrachyTxs[[#This Row],[Physicist(s)]])</f>
        <v>1</v>
      </c>
      <c r="Q479" t="b">
        <f>ValidateMDs(BrachyTxs[[#This Row],[MD(s)]])</f>
        <v>1</v>
      </c>
      <c r="S479" s="3"/>
    </row>
    <row r="480" spans="1:19" x14ac:dyDescent="0.25">
      <c r="A480" t="s">
        <v>326</v>
      </c>
      <c r="B480" s="1">
        <v>44441</v>
      </c>
      <c r="C480" s="2" t="s">
        <v>57</v>
      </c>
      <c r="D480" s="3" t="s">
        <v>342</v>
      </c>
      <c r="E480" s="3"/>
      <c r="F480">
        <f>IF(ISNUMBER(SEARCH("BB",BrachyTxs[[#This Row],[Physicist(s)]])),1,0)</f>
        <v>0</v>
      </c>
      <c r="G480" s="3">
        <f>IF(ISNUMBER(SEARCH("DZ",BrachyTxs[[#This Row],[Physicist(s)]])),1,0)</f>
        <v>1</v>
      </c>
      <c r="H480" s="3">
        <f>IF(ISNUMBER(SEARCH("ZC",BrachyTxs[[#This Row],[Physicist(s)]])),1,0)</f>
        <v>0</v>
      </c>
      <c r="I480" s="3">
        <f>IF(ISNUMBER(SEARCH("DJ",BrachyTxs[[#This Row],[MD(s)]])),1,0)</f>
        <v>0</v>
      </c>
      <c r="J480" s="3">
        <f>IF(ISNUMBER(SEARCH("JS",BrachyTxs[[#This Row],[MD(s)]])),1,0)</f>
        <v>0</v>
      </c>
      <c r="K480" s="3"/>
      <c r="L480" s="3"/>
      <c r="M480" s="3"/>
      <c r="N480" s="3"/>
      <c r="O480" t="b">
        <f>ValidatePatient(BrachyTxs[[#This Row],[Pt]])</f>
        <v>1</v>
      </c>
      <c r="P480" t="b">
        <f>ValidatePhysicists(BrachyTxs[[#This Row],[Physicist(s)]])</f>
        <v>0</v>
      </c>
      <c r="Q480" t="b">
        <f>ValidateMDs(BrachyTxs[[#This Row],[MD(s)]])</f>
        <v>1</v>
      </c>
      <c r="S480" s="3"/>
    </row>
    <row r="481" spans="1:19" x14ac:dyDescent="0.25">
      <c r="A481" t="s">
        <v>326</v>
      </c>
      <c r="B481" s="1">
        <v>44441</v>
      </c>
      <c r="C481" s="2" t="s">
        <v>37</v>
      </c>
      <c r="D481" s="3" t="s">
        <v>333</v>
      </c>
      <c r="E481" s="3"/>
      <c r="F481">
        <f>IF(ISNUMBER(SEARCH("BB",BrachyTxs[[#This Row],[Physicist(s)]])),1,0)</f>
        <v>0</v>
      </c>
      <c r="G481" s="3">
        <f>IF(ISNUMBER(SEARCH("DZ",BrachyTxs[[#This Row],[Physicist(s)]])),1,0)</f>
        <v>0</v>
      </c>
      <c r="H481" s="3">
        <f>IF(ISNUMBER(SEARCH("ZC",BrachyTxs[[#This Row],[Physicist(s)]])),1,0)</f>
        <v>1</v>
      </c>
      <c r="I481" s="3">
        <f>IF(ISNUMBER(SEARCH("DJ",BrachyTxs[[#This Row],[MD(s)]])),1,0)</f>
        <v>0</v>
      </c>
      <c r="J481" s="3">
        <f>IF(ISNUMBER(SEARCH("JS",BrachyTxs[[#This Row],[MD(s)]])),1,0)</f>
        <v>0</v>
      </c>
      <c r="K481" s="3"/>
      <c r="L481" s="3"/>
      <c r="M481" s="3"/>
      <c r="N481" s="3"/>
      <c r="O481" t="b">
        <f>ValidatePatient(BrachyTxs[[#This Row],[Pt]])</f>
        <v>1</v>
      </c>
      <c r="P481" t="b">
        <f>ValidatePhysicists(BrachyTxs[[#This Row],[Physicist(s)]])</f>
        <v>0</v>
      </c>
      <c r="Q481" t="b">
        <f>ValidateMDs(BrachyTxs[[#This Row],[MD(s)]])</f>
        <v>1</v>
      </c>
      <c r="S481" s="3"/>
    </row>
    <row r="482" spans="1:19" x14ac:dyDescent="0.25">
      <c r="A482" t="s">
        <v>326</v>
      </c>
      <c r="B482" s="1">
        <v>44474</v>
      </c>
      <c r="C482" s="2" t="s">
        <v>37</v>
      </c>
      <c r="D482" s="3"/>
      <c r="E482" s="3" t="s">
        <v>335</v>
      </c>
      <c r="F482">
        <f>IF(ISNUMBER(SEARCH("BB",BrachyTxs[[#This Row],[Physicist(s)]])),1,0)</f>
        <v>0</v>
      </c>
      <c r="G482" s="3">
        <f>IF(ISNUMBER(SEARCH("DZ",BrachyTxs[[#This Row],[Physicist(s)]])),1,0)</f>
        <v>0</v>
      </c>
      <c r="H482" s="3">
        <f>IF(ISNUMBER(SEARCH("ZC",BrachyTxs[[#This Row],[Physicist(s)]])),1,0)</f>
        <v>0</v>
      </c>
      <c r="I482" s="3">
        <f>IF(ISNUMBER(SEARCH("DJ",BrachyTxs[[#This Row],[MD(s)]])),1,0)</f>
        <v>1</v>
      </c>
      <c r="J482" s="3">
        <f>IF(ISNUMBER(SEARCH("JS",BrachyTxs[[#This Row],[MD(s)]])),1,0)</f>
        <v>0</v>
      </c>
      <c r="K482" s="3"/>
      <c r="L482" s="3"/>
      <c r="M482" s="3"/>
      <c r="N482" s="3"/>
      <c r="O482" t="b">
        <f>ValidatePatient(BrachyTxs[[#This Row],[Pt]])</f>
        <v>1</v>
      </c>
      <c r="P482" t="b">
        <f>ValidatePhysicists(BrachyTxs[[#This Row],[Physicist(s)]])</f>
        <v>1</v>
      </c>
      <c r="Q482" t="b">
        <f>ValidateMDs(BrachyTxs[[#This Row],[MD(s)]])</f>
        <v>0</v>
      </c>
      <c r="S482" s="3"/>
    </row>
    <row r="483" spans="1:19" x14ac:dyDescent="0.25">
      <c r="A483" t="s">
        <v>325</v>
      </c>
      <c r="B483" s="1">
        <v>44601</v>
      </c>
      <c r="C483" s="2" t="s">
        <v>338</v>
      </c>
      <c r="D483" s="3" t="s">
        <v>339</v>
      </c>
      <c r="E483" s="3" t="s">
        <v>335</v>
      </c>
      <c r="F483">
        <f>IF(ISNUMBER(SEARCH("BB",BrachyTxs[[#This Row],[Physicist(s)]])),1,0)</f>
        <v>0</v>
      </c>
      <c r="G483" s="3">
        <f>IF(ISNUMBER(SEARCH("DZ",BrachyTxs[[#This Row],[Physicist(s)]])),1,0)</f>
        <v>1</v>
      </c>
      <c r="H483" s="3">
        <f>IF(ISNUMBER(SEARCH("ZC",BrachyTxs[[#This Row],[Physicist(s)]])),1,0)</f>
        <v>1</v>
      </c>
      <c r="I483" s="3">
        <f>IF(ISNUMBER(SEARCH("DJ",BrachyTxs[[#This Row],[MD(s)]])),1,0)</f>
        <v>1</v>
      </c>
      <c r="J483" s="3">
        <f>IF(ISNUMBER(SEARCH("JS",BrachyTxs[[#This Row],[MD(s)]])),1,0)</f>
        <v>0</v>
      </c>
      <c r="K483" s="3"/>
      <c r="L483" s="3"/>
      <c r="M483" s="3"/>
      <c r="N483" s="3"/>
      <c r="O483" t="b">
        <f>ValidatePatient(BrachyTxs[[#This Row],[Pt]])</f>
        <v>1</v>
      </c>
      <c r="P483" t="b">
        <f>ValidatePhysicists(BrachyTxs[[#This Row],[Physicist(s)]])</f>
        <v>0</v>
      </c>
      <c r="Q483" t="b">
        <f>ValidateMDs(BrachyTxs[[#This Row],[MD(s)]])</f>
        <v>0</v>
      </c>
      <c r="S483" s="3"/>
    </row>
    <row r="484" spans="1:19" x14ac:dyDescent="0.25">
      <c r="A484" t="s">
        <v>325</v>
      </c>
      <c r="B484" s="1">
        <v>44545</v>
      </c>
      <c r="C484" s="2" t="s">
        <v>340</v>
      </c>
      <c r="D484" s="3" t="s">
        <v>339</v>
      </c>
      <c r="E484" s="3" t="s">
        <v>335</v>
      </c>
      <c r="F484">
        <f>IF(ISNUMBER(SEARCH("BB",BrachyTxs[[#This Row],[Physicist(s)]])),1,0)</f>
        <v>0</v>
      </c>
      <c r="G484" s="3">
        <f>IF(ISNUMBER(SEARCH("DZ",BrachyTxs[[#This Row],[Physicist(s)]])),1,0)</f>
        <v>1</v>
      </c>
      <c r="H484" s="3">
        <f>IF(ISNUMBER(SEARCH("ZC",BrachyTxs[[#This Row],[Physicist(s)]])),1,0)</f>
        <v>1</v>
      </c>
      <c r="I484" s="3">
        <f>IF(ISNUMBER(SEARCH("DJ",BrachyTxs[[#This Row],[MD(s)]])),1,0)</f>
        <v>1</v>
      </c>
      <c r="J484" s="3">
        <f>IF(ISNUMBER(SEARCH("JS",BrachyTxs[[#This Row],[MD(s)]])),1,0)</f>
        <v>0</v>
      </c>
      <c r="K484" s="3"/>
      <c r="L484" s="3"/>
      <c r="M484" s="3"/>
      <c r="N484" s="3"/>
      <c r="O484" t="b">
        <f>ValidatePatient(BrachyTxs[[#This Row],[Pt]])</f>
        <v>1</v>
      </c>
      <c r="P484" t="b">
        <f>ValidatePhysicists(BrachyTxs[[#This Row],[Physicist(s)]])</f>
        <v>0</v>
      </c>
      <c r="Q484" t="b">
        <f>ValidateMDs(BrachyTxs[[#This Row],[MD(s)]])</f>
        <v>0</v>
      </c>
      <c r="S484" s="3"/>
    </row>
    <row r="485" spans="1:19" x14ac:dyDescent="0.25">
      <c r="A485" t="s">
        <v>325</v>
      </c>
      <c r="B485" s="1">
        <v>44615</v>
      </c>
      <c r="C485" s="2" t="s">
        <v>341</v>
      </c>
      <c r="D485" s="3" t="s">
        <v>333</v>
      </c>
      <c r="E485" s="3" t="s">
        <v>335</v>
      </c>
      <c r="F485">
        <f>IF(ISNUMBER(SEARCH("BB",BrachyTxs[[#This Row],[Physicist(s)]])),1,0)</f>
        <v>0</v>
      </c>
      <c r="G485" s="3">
        <f>IF(ISNUMBER(SEARCH("DZ",BrachyTxs[[#This Row],[Physicist(s)]])),1,0)</f>
        <v>0</v>
      </c>
      <c r="H485" s="3">
        <f>IF(ISNUMBER(SEARCH("ZC",BrachyTxs[[#This Row],[Physicist(s)]])),1,0)</f>
        <v>1</v>
      </c>
      <c r="I485" s="3">
        <f>IF(ISNUMBER(SEARCH("DJ",BrachyTxs[[#This Row],[MD(s)]])),1,0)</f>
        <v>1</v>
      </c>
      <c r="J485" s="3">
        <f>IF(ISNUMBER(SEARCH("JS",BrachyTxs[[#This Row],[MD(s)]])),1,0)</f>
        <v>0</v>
      </c>
      <c r="K485" s="3"/>
      <c r="L485" s="3"/>
      <c r="M485" s="3"/>
      <c r="N485" s="3"/>
      <c r="O485" t="b">
        <f>ValidatePatient(BrachyTxs[[#This Row],[Pt]])</f>
        <v>1</v>
      </c>
      <c r="P485" t="b">
        <f>ValidatePhysicists(BrachyTxs[[#This Row],[Physicist(s)]])</f>
        <v>0</v>
      </c>
      <c r="Q485" t="b">
        <f>ValidateMDs(BrachyTxs[[#This Row],[MD(s)]])</f>
        <v>0</v>
      </c>
      <c r="S485" s="3"/>
    </row>
    <row r="486" spans="1:19" x14ac:dyDescent="0.25">
      <c r="A486" t="s">
        <v>326</v>
      </c>
      <c r="B486" s="1">
        <v>44476</v>
      </c>
      <c r="C486" s="2" t="s">
        <v>57</v>
      </c>
      <c r="D486" s="3" t="s">
        <v>339</v>
      </c>
      <c r="E486" s="3"/>
      <c r="F486">
        <f>IF(ISNUMBER(SEARCH("BB",BrachyTxs[[#This Row],[Physicist(s)]])),1,0)</f>
        <v>0</v>
      </c>
      <c r="G486" s="3">
        <f>IF(ISNUMBER(SEARCH("DZ",BrachyTxs[[#This Row],[Physicist(s)]])),1,0)</f>
        <v>1</v>
      </c>
      <c r="H486" s="3">
        <f>IF(ISNUMBER(SEARCH("ZC",BrachyTxs[[#This Row],[Physicist(s)]])),1,0)</f>
        <v>1</v>
      </c>
      <c r="I486" s="3">
        <f>IF(ISNUMBER(SEARCH("DJ",BrachyTxs[[#This Row],[MD(s)]])),1,0)</f>
        <v>0</v>
      </c>
      <c r="J486" s="3">
        <f>IF(ISNUMBER(SEARCH("JS",BrachyTxs[[#This Row],[MD(s)]])),1,0)</f>
        <v>0</v>
      </c>
      <c r="K486" s="3"/>
      <c r="L486" s="3"/>
      <c r="M486" s="3"/>
      <c r="N486" s="3"/>
      <c r="O486" t="b">
        <f>ValidatePatient(BrachyTxs[[#This Row],[Pt]])</f>
        <v>1</v>
      </c>
      <c r="P486" t="b">
        <f>ValidatePhysicists(BrachyTxs[[#This Row],[Physicist(s)]])</f>
        <v>0</v>
      </c>
      <c r="Q486" t="b">
        <f>ValidateMDs(BrachyTxs[[#This Row],[MD(s)]])</f>
        <v>1</v>
      </c>
      <c r="S486" s="3"/>
    </row>
    <row r="487" spans="1:19" x14ac:dyDescent="0.25">
      <c r="A487" t="s">
        <v>326</v>
      </c>
      <c r="B487" s="1">
        <v>44504</v>
      </c>
      <c r="C487" s="2" t="s">
        <v>57</v>
      </c>
      <c r="D487" s="3" t="s">
        <v>339</v>
      </c>
      <c r="E487" s="3" t="s">
        <v>335</v>
      </c>
      <c r="F487">
        <f>IF(ISNUMBER(SEARCH("BB",BrachyTxs[[#This Row],[Physicist(s)]])),1,0)</f>
        <v>0</v>
      </c>
      <c r="G487" s="3">
        <f>IF(ISNUMBER(SEARCH("DZ",BrachyTxs[[#This Row],[Physicist(s)]])),1,0)</f>
        <v>1</v>
      </c>
      <c r="H487" s="3">
        <f>IF(ISNUMBER(SEARCH("ZC",BrachyTxs[[#This Row],[Physicist(s)]])),1,0)</f>
        <v>1</v>
      </c>
      <c r="I487" s="3">
        <f>IF(ISNUMBER(SEARCH("DJ",BrachyTxs[[#This Row],[MD(s)]])),1,0)</f>
        <v>1</v>
      </c>
      <c r="J487" s="3">
        <f>IF(ISNUMBER(SEARCH("JS",BrachyTxs[[#This Row],[MD(s)]])),1,0)</f>
        <v>0</v>
      </c>
      <c r="K487" s="3"/>
      <c r="L487" s="3"/>
      <c r="M487" s="3"/>
      <c r="N487" s="3"/>
      <c r="O487" t="b">
        <f>ValidatePatient(BrachyTxs[[#This Row],[Pt]])</f>
        <v>1</v>
      </c>
      <c r="P487" t="b">
        <f>ValidatePhysicists(BrachyTxs[[#This Row],[Physicist(s)]])</f>
        <v>0</v>
      </c>
      <c r="Q487" t="b">
        <f>ValidateMDs(BrachyTxs[[#This Row],[MD(s)]])</f>
        <v>0</v>
      </c>
      <c r="S487" s="3"/>
    </row>
    <row r="488" spans="1:19" x14ac:dyDescent="0.25">
      <c r="A488" t="s">
        <v>326</v>
      </c>
      <c r="B488" s="1">
        <v>44474</v>
      </c>
      <c r="C488" s="2" t="s">
        <v>37</v>
      </c>
      <c r="D488" s="3" t="s">
        <v>333</v>
      </c>
      <c r="E488" s="3" t="s">
        <v>335</v>
      </c>
      <c r="F488">
        <f>IF(ISNUMBER(SEARCH("BB",BrachyTxs[[#This Row],[Physicist(s)]])),1,0)</f>
        <v>0</v>
      </c>
      <c r="G488" s="3">
        <f>IF(ISNUMBER(SEARCH("DZ",BrachyTxs[[#This Row],[Physicist(s)]])),1,0)</f>
        <v>0</v>
      </c>
      <c r="H488" s="3">
        <f>IF(ISNUMBER(SEARCH("ZC",BrachyTxs[[#This Row],[Physicist(s)]])),1,0)</f>
        <v>1</v>
      </c>
      <c r="I488" s="3">
        <f>IF(ISNUMBER(SEARCH("DJ",BrachyTxs[[#This Row],[MD(s)]])),1,0)</f>
        <v>1</v>
      </c>
      <c r="J488" s="3">
        <f>IF(ISNUMBER(SEARCH("JS",BrachyTxs[[#This Row],[MD(s)]])),1,0)</f>
        <v>0</v>
      </c>
      <c r="K488" s="3"/>
      <c r="L488" s="3"/>
      <c r="M488" s="3"/>
      <c r="N488" s="3"/>
      <c r="O488" t="b">
        <f>ValidatePatient(BrachyTxs[[#This Row],[Pt]])</f>
        <v>1</v>
      </c>
      <c r="P488" t="b">
        <f>ValidatePhysicists(BrachyTxs[[#This Row],[Physicist(s)]])</f>
        <v>0</v>
      </c>
      <c r="Q488" t="b">
        <f>ValidateMDs(BrachyTxs[[#This Row],[MD(s)]])</f>
        <v>0</v>
      </c>
      <c r="S488" s="3"/>
    </row>
    <row r="489" spans="1:19" x14ac:dyDescent="0.25">
      <c r="A489" t="s">
        <v>325</v>
      </c>
      <c r="B489" s="1">
        <v>44636</v>
      </c>
      <c r="C489" s="2" t="s">
        <v>245</v>
      </c>
      <c r="D489" s="3" t="s">
        <v>350</v>
      </c>
      <c r="E489" s="3" t="s">
        <v>335</v>
      </c>
      <c r="F489" s="3">
        <f>IF(ISNUMBER(SEARCH("BB",BrachyTxs[[#This Row],[Physicist(s)]])),1,0)</f>
        <v>0</v>
      </c>
      <c r="G489" s="3">
        <f>IF(ISNUMBER(SEARCH("DZ",BrachyTxs[[#This Row],[Physicist(s)]])),1,0)</f>
        <v>0</v>
      </c>
      <c r="H489" s="3">
        <f>IF(ISNUMBER(SEARCH("ZC",BrachyTxs[[#This Row],[Physicist(s)]])),1,0)</f>
        <v>0</v>
      </c>
      <c r="I489" s="3">
        <f>IF(ISNUMBER(SEARCH("DJ",BrachyTxs[[#This Row],[MD(s)]])),1,0)</f>
        <v>1</v>
      </c>
      <c r="J489" s="3">
        <f>IF(ISNUMBER(SEARCH("JS",BrachyTxs[[#This Row],[MD(s)]])),1,0)</f>
        <v>0</v>
      </c>
    </row>
    <row r="490" spans="1:19" x14ac:dyDescent="0.25">
      <c r="A490" t="s">
        <v>323</v>
      </c>
      <c r="B490" s="1">
        <v>44671</v>
      </c>
      <c r="C490" s="2" t="s">
        <v>387</v>
      </c>
      <c r="D490" s="3" t="s">
        <v>350</v>
      </c>
      <c r="E490" s="3" t="s">
        <v>335</v>
      </c>
      <c r="F490" s="3">
        <f>IF(ISNUMBER(SEARCH("BB",BrachyTxs[[#This Row],[Physicist(s)]])),1,0)</f>
        <v>0</v>
      </c>
      <c r="G490" s="3">
        <f>IF(ISNUMBER(SEARCH("DZ",BrachyTxs[[#This Row],[Physicist(s)]])),1,0)</f>
        <v>0</v>
      </c>
      <c r="H490" s="3">
        <f>IF(ISNUMBER(SEARCH("ZC",BrachyTxs[[#This Row],[Physicist(s)]])),1,0)</f>
        <v>0</v>
      </c>
      <c r="I490" s="3">
        <f>IF(ISNUMBER(SEARCH("DJ",BrachyTxs[[#This Row],[MD(s)]])),1,0)</f>
        <v>1</v>
      </c>
      <c r="J490" s="3">
        <f>IF(ISNUMBER(SEARCH("JS",BrachyTxs[[#This Row],[MD(s)]])),1,0)</f>
        <v>0</v>
      </c>
    </row>
    <row r="491" spans="1:19" x14ac:dyDescent="0.25">
      <c r="A491" t="s">
        <v>323</v>
      </c>
      <c r="B491" s="1">
        <v>44684</v>
      </c>
      <c r="C491" s="2" t="s">
        <v>388</v>
      </c>
      <c r="D491" s="3" t="s">
        <v>346</v>
      </c>
      <c r="E491" s="3" t="s">
        <v>335</v>
      </c>
      <c r="F491" s="3">
        <f>IF(ISNUMBER(SEARCH("BB",BrachyTxs[[#This Row],[Physicist(s)]])),1,0)</f>
        <v>0</v>
      </c>
      <c r="G491" s="3">
        <f>IF(ISNUMBER(SEARCH("DZ",BrachyTxs[[#This Row],[Physicist(s)]])),1,0)</f>
        <v>0</v>
      </c>
      <c r="H491" s="3">
        <f>IF(ISNUMBER(SEARCH("ZC",BrachyTxs[[#This Row],[Physicist(s)]])),1,0)</f>
        <v>0</v>
      </c>
      <c r="I491" s="3">
        <f>IF(ISNUMBER(SEARCH("DJ",BrachyTxs[[#This Row],[MD(s)]])),1,0)</f>
        <v>1</v>
      </c>
      <c r="J491" s="3">
        <f>IF(ISNUMBER(SEARCH("JS",BrachyTxs[[#This Row],[MD(s)]])),1,0)</f>
        <v>0</v>
      </c>
    </row>
  </sheetData>
  <mergeCells count="3">
    <mergeCell ref="T1:Y1"/>
    <mergeCell ref="AB1:AG1"/>
    <mergeCell ref="A1:E1"/>
  </mergeCells>
  <dataValidations count="4">
    <dataValidation type="list" allowBlank="1" showInputMessage="1" showErrorMessage="1" sqref="A3:A1048576">
      <formula1>"Cs-137,I-131 High Dose,I-131 Low Dose,Ra-223 (Xofigo)"</formula1>
    </dataValidation>
    <dataValidation type="custom" allowBlank="1" showErrorMessage="1" errorTitle="Invalid Patient" error="Must be MRN or name" sqref="C1:C1048576">
      <formula1>INDIRECT("ValidatePt")</formula1>
    </dataValidation>
    <dataValidation type="custom" allowBlank="1" showErrorMessage="1" errorTitle="Invalid Physicist List" error="Must be a comma-separated list of physicist initials" sqref="D1:D1048576">
      <formula1>INDIRECT("ValidatePhys")</formula1>
    </dataValidation>
    <dataValidation type="custom" allowBlank="1" showErrorMessage="1" errorTitle="Invalid MD List" error="Must be a comma-separated list of MD initials" sqref="E1:E1048576">
      <formula1>INDIRECT("ValidateMD")</formula1>
    </dataValidation>
  </dataValidations>
  <pageMargins left="0.7" right="0.7" top="0.75" bottom="0.75" header="0.3" footer="0.3"/>
  <pageSetup orientation="portrait" r:id="rId3"/>
  <drawing r:id="rId4"/>
  <tableParts count="4"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How to Use</vt:lpstr>
      <vt:lpstr>Brachy Txs</vt:lpstr>
      <vt:lpstr>NumTxs_TotalTxs</vt:lpstr>
      <vt:lpstr>NumTxs_TxType</vt:lpstr>
      <vt:lpstr>ValidateMD</vt:lpstr>
      <vt:lpstr>ValidatePhys</vt:lpstr>
      <vt:lpstr>ValidatePt</vt:lpstr>
    </vt:vector>
  </TitlesOfParts>
  <Company>Cookeville Regional Medical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Kaley E. White</dc:creator>
  <cp:lastModifiedBy>Kaley E. White</cp:lastModifiedBy>
  <cp:lastPrinted>2022-03-29T14:40:17Z</cp:lastPrinted>
  <dcterms:created xsi:type="dcterms:W3CDTF">2022-01-11T14:42:00Z</dcterms:created>
  <dcterms:modified xsi:type="dcterms:W3CDTF">2022-05-04T13:48:00Z</dcterms:modified>
</cp:coreProperties>
</file>